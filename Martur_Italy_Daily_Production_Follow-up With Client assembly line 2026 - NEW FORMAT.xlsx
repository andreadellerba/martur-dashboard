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0" documentId="13_ncr:1_{3476A64C-9B8F-45FA-A633-10C4ECBD4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2" r:id="rId1"/>
    <sheet name="DMC 2026" sheetId="3" r:id="rId2"/>
    <sheet name="ABARTH 2026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I16" i="2" l="1"/>
  <c r="HI19" i="2"/>
  <c r="HI30" i="2" s="1"/>
  <c r="HI21" i="2"/>
  <c r="HI25" i="2"/>
  <c r="HI26" i="2"/>
  <c r="HI27" i="2"/>
  <c r="HI28" i="2"/>
  <c r="HI29" i="2"/>
  <c r="HI31" i="2"/>
  <c r="HI34" i="2"/>
  <c r="HI35" i="2"/>
  <c r="HI5" i="2"/>
  <c r="HI10" i="2"/>
  <c r="HI8" i="2"/>
  <c r="HH11" i="2"/>
  <c r="HG22" i="2"/>
  <c r="HI6" i="2"/>
  <c r="HH16" i="2"/>
  <c r="HH19" i="2"/>
  <c r="HH30" i="2" s="1"/>
  <c r="HH21" i="2"/>
  <c r="HH25" i="2"/>
  <c r="HH26" i="2"/>
  <c r="HH32" i="2" s="1"/>
  <c r="HH27" i="2"/>
  <c r="HH28" i="2"/>
  <c r="HH29" i="2"/>
  <c r="HH31" i="2"/>
  <c r="HH34" i="2"/>
  <c r="HH35" i="2"/>
  <c r="HH10" i="2"/>
  <c r="HH5" i="2"/>
  <c r="HH6" i="2"/>
  <c r="HH8" i="2" s="1"/>
  <c r="GZ23" i="4"/>
  <c r="HB23" i="4"/>
  <c r="HA24" i="4"/>
  <c r="HG35" i="2"/>
  <c r="HG16" i="2"/>
  <c r="HG19" i="2"/>
  <c r="HG21" i="2"/>
  <c r="HG25" i="2"/>
  <c r="HG26" i="2"/>
  <c r="HG27" i="2"/>
  <c r="HG28" i="2"/>
  <c r="HG29" i="2"/>
  <c r="HG31" i="2"/>
  <c r="HG34" i="2"/>
  <c r="HG10" i="2"/>
  <c r="HG5" i="2"/>
  <c r="HF19" i="2"/>
  <c r="HF30" i="2" s="1"/>
  <c r="HF17" i="2"/>
  <c r="HF16" i="2" s="1"/>
  <c r="HG6" i="2"/>
  <c r="HG8" i="2"/>
  <c r="HF34" i="2"/>
  <c r="HF25" i="2"/>
  <c r="HF26" i="2"/>
  <c r="HF27" i="2"/>
  <c r="HF28" i="2"/>
  <c r="HF29" i="2"/>
  <c r="HF31" i="2"/>
  <c r="HF21" i="2"/>
  <c r="HF10" i="2"/>
  <c r="HE30" i="2"/>
  <c r="HF5" i="2"/>
  <c r="HE31" i="2"/>
  <c r="HI32" i="2" l="1"/>
  <c r="HG30" i="2"/>
  <c r="HG32" i="2"/>
  <c r="HF32" i="2"/>
  <c r="HF6" i="2"/>
  <c r="HF8" i="2"/>
  <c r="HE5" i="2" l="1"/>
  <c r="HE10" i="2"/>
  <c r="HE29" i="2"/>
  <c r="HE26" i="2"/>
  <c r="HE25" i="2"/>
  <c r="HE8" i="2"/>
  <c r="HD20" i="2"/>
  <c r="HD18" i="2"/>
  <c r="HD17" i="2"/>
  <c r="HD15" i="2"/>
  <c r="HD14" i="2"/>
  <c r="HD21" i="2" s="1"/>
  <c r="HD9" i="2"/>
  <c r="HD7" i="2"/>
  <c r="HD29" i="2" s="1"/>
  <c r="HD6" i="2"/>
  <c r="HD4" i="2"/>
  <c r="HD26" i="2" s="1"/>
  <c r="HD3" i="2"/>
  <c r="HD25" i="2" s="1"/>
  <c r="GX33" i="2"/>
  <c r="GY33" i="2"/>
  <c r="HA33" i="2"/>
  <c r="GZ33" i="2"/>
  <c r="HA11" i="2"/>
  <c r="HA16" i="2"/>
  <c r="HA34" i="2"/>
  <c r="HA21" i="2"/>
  <c r="HA19" i="2"/>
  <c r="GZ11" i="2"/>
  <c r="HD11" i="2" s="1"/>
  <c r="HD10" i="2" l="1"/>
  <c r="HA25" i="2"/>
  <c r="HA26" i="2"/>
  <c r="HA28" i="2"/>
  <c r="HA29" i="2"/>
  <c r="HA31" i="2"/>
  <c r="HA35" i="2"/>
  <c r="HA5" i="2"/>
  <c r="HA27" i="2" s="1"/>
  <c r="HA8" i="2"/>
  <c r="HA30" i="2" s="1"/>
  <c r="HA10" i="2"/>
  <c r="GZ23" i="2"/>
  <c r="GZ34" i="2" s="1"/>
  <c r="GZ35" i="2"/>
  <c r="GZ31" i="2"/>
  <c r="GZ29" i="2"/>
  <c r="GZ28" i="2"/>
  <c r="HE28" i="2" s="1"/>
  <c r="GZ26" i="2"/>
  <c r="GZ25" i="2"/>
  <c r="GZ40" i="2"/>
  <c r="HA40" i="2"/>
  <c r="HB40" i="2"/>
  <c r="GZ16" i="2"/>
  <c r="GZ27" i="2" s="1"/>
  <c r="GZ21" i="2"/>
  <c r="GZ19" i="2"/>
  <c r="GZ30" i="2" s="1"/>
  <c r="GZ5" i="2"/>
  <c r="GZ8" i="2"/>
  <c r="GZ10" i="2"/>
  <c r="GY40" i="2"/>
  <c r="GY23" i="2"/>
  <c r="GY34" i="2" s="1"/>
  <c r="GY21" i="2"/>
  <c r="GY19" i="2"/>
  <c r="GY16" i="2"/>
  <c r="GY25" i="2"/>
  <c r="GY26" i="2"/>
  <c r="GY28" i="2"/>
  <c r="GY29" i="2"/>
  <c r="GY31" i="2"/>
  <c r="GY5" i="2"/>
  <c r="GY8" i="2"/>
  <c r="GY10" i="2"/>
  <c r="GX24" i="2"/>
  <c r="GX35" i="2" s="1"/>
  <c r="GX34" i="2"/>
  <c r="GX31" i="2"/>
  <c r="HD31" i="2" s="1"/>
  <c r="HD32" i="2" s="1"/>
  <c r="GX29" i="2"/>
  <c r="GX28" i="2"/>
  <c r="GX26" i="2"/>
  <c r="GX25" i="2"/>
  <c r="GX10" i="2"/>
  <c r="GX8" i="2"/>
  <c r="GX5" i="2"/>
  <c r="GW14" i="2"/>
  <c r="GW17" i="2"/>
  <c r="GT25" i="2"/>
  <c r="GT26" i="2"/>
  <c r="GT28" i="2"/>
  <c r="GT29" i="2"/>
  <c r="GT31" i="2"/>
  <c r="GS40" i="2"/>
  <c r="GR40" i="2"/>
  <c r="GQ40" i="2"/>
  <c r="GT40" i="2"/>
  <c r="GP40" i="2"/>
  <c r="GL40" i="2"/>
  <c r="GP42" i="2"/>
  <c r="GW10" i="2"/>
  <c r="GW9" i="2"/>
  <c r="GW7" i="2"/>
  <c r="GW6" i="2"/>
  <c r="GW4" i="2"/>
  <c r="GW3" i="2"/>
  <c r="GW25" i="2" s="1"/>
  <c r="GW20" i="2"/>
  <c r="GW18" i="2"/>
  <c r="GW15" i="2"/>
  <c r="GY30" i="2" l="1"/>
  <c r="HD19" i="2"/>
  <c r="HE32" i="2"/>
  <c r="GY27" i="2"/>
  <c r="HE27" i="2" s="1"/>
  <c r="HD16" i="2"/>
  <c r="HD28" i="2"/>
  <c r="GW26" i="2"/>
  <c r="GW29" i="2"/>
  <c r="GX27" i="2"/>
  <c r="HD27" i="2" s="1"/>
  <c r="HD5" i="2"/>
  <c r="GZ32" i="2"/>
  <c r="GX30" i="2"/>
  <c r="HD8" i="2"/>
  <c r="HA32" i="2"/>
  <c r="GY32" i="2"/>
  <c r="GX32" i="2"/>
  <c r="GT32" i="2"/>
  <c r="GT42" i="2"/>
  <c r="GW21" i="2"/>
  <c r="GT5" i="2"/>
  <c r="GT10" i="2"/>
  <c r="GT16" i="2"/>
  <c r="GT19" i="2"/>
  <c r="GT30" i="2" s="1"/>
  <c r="GT21" i="2"/>
  <c r="GT8" i="2"/>
  <c r="GS10" i="2"/>
  <c r="GS5" i="2"/>
  <c r="GS25" i="2"/>
  <c r="GS42" i="2" s="1"/>
  <c r="GS26" i="2"/>
  <c r="GS28" i="2"/>
  <c r="GS29" i="2"/>
  <c r="GS31" i="2"/>
  <c r="GS16" i="2"/>
  <c r="GS19" i="2"/>
  <c r="GS21" i="2"/>
  <c r="GS8" i="2"/>
  <c r="CO33" i="2"/>
  <c r="GP41" i="2"/>
  <c r="GX36" i="2"/>
  <c r="HE36" i="2"/>
  <c r="GX37" i="2"/>
  <c r="HE37" i="2"/>
  <c r="GR19" i="2"/>
  <c r="GW19" i="2" l="1"/>
  <c r="GT27" i="2"/>
  <c r="GS30" i="2"/>
  <c r="GS27" i="2"/>
  <c r="GS32" i="2"/>
  <c r="GR34" i="2"/>
  <c r="GS34" i="2"/>
  <c r="GT34" i="2"/>
  <c r="GQ34" i="2"/>
  <c r="GR35" i="2"/>
  <c r="GS35" i="2"/>
  <c r="GT35" i="2"/>
  <c r="GQ35" i="2"/>
  <c r="GR8" i="2"/>
  <c r="GR21" i="2" l="1"/>
  <c r="GR16" i="2"/>
  <c r="GW16" i="2" s="1"/>
  <c r="GR25" i="2"/>
  <c r="GR42" i="2" s="1"/>
  <c r="GR26" i="2"/>
  <c r="GR28" i="2"/>
  <c r="GR29" i="2"/>
  <c r="GR31" i="2"/>
  <c r="GR10" i="2"/>
  <c r="GR5" i="2"/>
  <c r="GR27" i="2" l="1"/>
  <c r="GR32" i="2"/>
  <c r="GR30" i="2"/>
  <c r="GQ25" i="2" l="1"/>
  <c r="GQ26" i="2"/>
  <c r="GP37" i="2" s="1"/>
  <c r="GQ28" i="2"/>
  <c r="GW28" i="2" s="1"/>
  <c r="GQ29" i="2"/>
  <c r="GQ31" i="2"/>
  <c r="GW31" i="2" s="1"/>
  <c r="GW32" i="2" s="1"/>
  <c r="GQ5" i="2"/>
  <c r="GQ8" i="2"/>
  <c r="GQ10" i="2"/>
  <c r="GO17" i="2"/>
  <c r="GO20" i="2"/>
  <c r="GO18" i="2"/>
  <c r="GO15" i="2"/>
  <c r="GO14" i="2"/>
  <c r="GO9" i="2"/>
  <c r="GO7" i="2"/>
  <c r="GO6" i="2"/>
  <c r="GO4" i="2"/>
  <c r="GO3" i="2"/>
  <c r="GM31" i="2"/>
  <c r="GM29" i="2"/>
  <c r="GM30" i="2" s="1"/>
  <c r="GM28" i="2"/>
  <c r="GM26" i="2"/>
  <c r="GM25" i="2"/>
  <c r="GM42" i="2" s="1"/>
  <c r="GM16" i="2"/>
  <c r="GM21" i="2"/>
  <c r="GM19" i="2"/>
  <c r="GK18" i="3"/>
  <c r="GR18" i="3"/>
  <c r="GY18" i="3"/>
  <c r="HF18" i="3"/>
  <c r="HM18" i="3"/>
  <c r="GL23" i="4"/>
  <c r="GM23" i="4"/>
  <c r="GN23" i="4"/>
  <c r="GO23" i="4"/>
  <c r="GP23" i="4"/>
  <c r="GQ23" i="4"/>
  <c r="GR23" i="4"/>
  <c r="GS23" i="4"/>
  <c r="GT23" i="4"/>
  <c r="GU23" i="4"/>
  <c r="GV23" i="4"/>
  <c r="GW23" i="4"/>
  <c r="GX23" i="4"/>
  <c r="GY23" i="4"/>
  <c r="HA23" i="4"/>
  <c r="HC23" i="4"/>
  <c r="HD23" i="4"/>
  <c r="HE23" i="4"/>
  <c r="HF23" i="4"/>
  <c r="HG23" i="4"/>
  <c r="HH23" i="4"/>
  <c r="HI23" i="4"/>
  <c r="HJ23" i="4"/>
  <c r="HK23" i="4"/>
  <c r="HL23" i="4"/>
  <c r="HM23" i="4"/>
  <c r="GL24" i="4"/>
  <c r="GM24" i="4"/>
  <c r="GN24" i="4"/>
  <c r="GO24" i="4"/>
  <c r="GP24" i="4"/>
  <c r="GQ24" i="4"/>
  <c r="GR24" i="4"/>
  <c r="GS24" i="4"/>
  <c r="GT24" i="4"/>
  <c r="GU24" i="4"/>
  <c r="GV24" i="4"/>
  <c r="GW24" i="4"/>
  <c r="GX24" i="4"/>
  <c r="GY24" i="4"/>
  <c r="GZ24" i="4"/>
  <c r="HB24" i="4"/>
  <c r="HC24" i="4"/>
  <c r="HD24" i="4"/>
  <c r="HE24" i="4"/>
  <c r="HF24" i="4"/>
  <c r="HG24" i="4"/>
  <c r="HH24" i="4"/>
  <c r="HI24" i="4"/>
  <c r="HJ24" i="4"/>
  <c r="HK24" i="4"/>
  <c r="HL24" i="4"/>
  <c r="HM24" i="4"/>
  <c r="GM5" i="2"/>
  <c r="GM8" i="2"/>
  <c r="GM10" i="2"/>
  <c r="GL16" i="2"/>
  <c r="GL31" i="2"/>
  <c r="GL29" i="2"/>
  <c r="GL30" i="2" s="1"/>
  <c r="GL28" i="2"/>
  <c r="GL26" i="2"/>
  <c r="GL25" i="2"/>
  <c r="GL21" i="2"/>
  <c r="GL19" i="2"/>
  <c r="GL5" i="2"/>
  <c r="GL8" i="2"/>
  <c r="GL10" i="2"/>
  <c r="GK16" i="2"/>
  <c r="GK31" i="2"/>
  <c r="GK29" i="2"/>
  <c r="GK30" i="2" s="1"/>
  <c r="GK28" i="2"/>
  <c r="GK26" i="2"/>
  <c r="GK25" i="2"/>
  <c r="GK21" i="2"/>
  <c r="GK19" i="2"/>
  <c r="GK40" i="2"/>
  <c r="GM40" i="2"/>
  <c r="GN40" i="2"/>
  <c r="GO40" i="2"/>
  <c r="GI40" i="2"/>
  <c r="GJ40" i="2"/>
  <c r="GK5" i="2"/>
  <c r="GK8" i="2"/>
  <c r="GK10" i="2"/>
  <c r="GC15" i="3"/>
  <c r="GB15" i="3"/>
  <c r="GA15" i="3"/>
  <c r="FZ15" i="3"/>
  <c r="FY15" i="3"/>
  <c r="FX15" i="3"/>
  <c r="FW15" i="3"/>
  <c r="GC14" i="3"/>
  <c r="GB14" i="3"/>
  <c r="GA14" i="3"/>
  <c r="FZ14" i="3"/>
  <c r="FY14" i="3"/>
  <c r="FX14" i="3"/>
  <c r="FW14" i="3"/>
  <c r="GB20" i="4"/>
  <c r="GA20" i="4"/>
  <c r="FZ20" i="4"/>
  <c r="FY20" i="4"/>
  <c r="FX20" i="4"/>
  <c r="GB19" i="4"/>
  <c r="GA19" i="4"/>
  <c r="FZ19" i="4"/>
  <c r="FY19" i="4"/>
  <c r="FX19" i="4"/>
  <c r="GJ21" i="2"/>
  <c r="GJ19" i="2"/>
  <c r="GJ16" i="2"/>
  <c r="GI41" i="2"/>
  <c r="GJ31" i="2"/>
  <c r="GI31" i="2"/>
  <c r="GJ29" i="2"/>
  <c r="GJ30" i="2" s="1"/>
  <c r="GI29" i="2"/>
  <c r="GI30" i="2" s="1"/>
  <c r="GJ28" i="2"/>
  <c r="GI28" i="2"/>
  <c r="GJ26" i="2"/>
  <c r="GI26" i="2"/>
  <c r="GJ25" i="2"/>
  <c r="GI25" i="2"/>
  <c r="GJ5" i="2"/>
  <c r="GJ8" i="2"/>
  <c r="GJ10" i="2"/>
  <c r="GI5" i="2"/>
  <c r="GI27" i="2" s="1"/>
  <c r="GI10" i="2"/>
  <c r="GI8" i="2"/>
  <c r="GA4" i="2"/>
  <c r="GA3" i="2"/>
  <c r="GA20" i="2"/>
  <c r="GA18" i="2"/>
  <c r="GA17" i="2"/>
  <c r="GA15" i="2"/>
  <c r="GA14" i="2"/>
  <c r="GA9" i="2"/>
  <c r="GA7" i="2"/>
  <c r="GA6" i="2"/>
  <c r="FY40" i="2"/>
  <c r="FY31" i="2"/>
  <c r="FY29" i="2"/>
  <c r="FY30" i="2" s="1"/>
  <c r="FY28" i="2"/>
  <c r="FY26" i="2"/>
  <c r="FY25" i="2"/>
  <c r="FY16" i="2"/>
  <c r="FY21" i="2"/>
  <c r="FY19" i="2"/>
  <c r="FY5" i="2"/>
  <c r="FY8" i="2"/>
  <c r="FY10" i="2"/>
  <c r="FX40" i="2"/>
  <c r="FX31" i="2"/>
  <c r="FX29" i="2"/>
  <c r="FX30" i="2" s="1"/>
  <c r="FX28" i="2"/>
  <c r="FX26" i="2"/>
  <c r="FX25" i="2"/>
  <c r="FX16" i="2"/>
  <c r="FX27" i="2" s="1"/>
  <c r="FX21" i="2"/>
  <c r="FX19" i="2"/>
  <c r="FV25" i="2"/>
  <c r="FW25" i="2"/>
  <c r="FX5" i="2"/>
  <c r="FX8" i="2"/>
  <c r="FX10" i="2"/>
  <c r="FW40" i="2"/>
  <c r="FW31" i="2"/>
  <c r="FW29" i="2"/>
  <c r="FW30" i="2" s="1"/>
  <c r="FW28" i="2"/>
  <c r="FW26" i="2"/>
  <c r="FW21" i="2"/>
  <c r="FW19" i="2"/>
  <c r="FW16" i="2"/>
  <c r="FW27" i="2" s="1"/>
  <c r="FW5" i="2"/>
  <c r="FW8" i="2"/>
  <c r="FW10" i="2"/>
  <c r="FV40" i="2"/>
  <c r="FV31" i="2"/>
  <c r="FV29" i="2"/>
  <c r="FV30" i="2" s="1"/>
  <c r="FV28" i="2"/>
  <c r="FV26" i="2"/>
  <c r="FV21" i="2"/>
  <c r="FV19" i="2"/>
  <c r="FV16" i="2"/>
  <c r="FV27" i="2" s="1"/>
  <c r="FV5" i="2"/>
  <c r="FV8" i="2"/>
  <c r="FV10" i="2"/>
  <c r="FU16" i="2"/>
  <c r="FU27" i="2" s="1"/>
  <c r="FU40" i="2"/>
  <c r="FU31" i="2"/>
  <c r="FU29" i="2"/>
  <c r="FU30" i="2" s="1"/>
  <c r="FU28" i="2"/>
  <c r="FU26" i="2"/>
  <c r="FU25" i="2"/>
  <c r="FU21" i="2"/>
  <c r="FU19" i="2"/>
  <c r="FU41" i="2"/>
  <c r="FU10" i="2"/>
  <c r="FU8" i="2"/>
  <c r="FU5" i="2"/>
  <c r="FT18" i="2"/>
  <c r="FT7" i="2"/>
  <c r="FQ40" i="2"/>
  <c r="FP40" i="2"/>
  <c r="FM41" i="2"/>
  <c r="FT6" i="2"/>
  <c r="FT17" i="2"/>
  <c r="FT15" i="2"/>
  <c r="FT14" i="2"/>
  <c r="FQ16" i="2"/>
  <c r="FQ19" i="2"/>
  <c r="FQ21" i="2"/>
  <c r="FQ25" i="2"/>
  <c r="FQ26" i="2"/>
  <c r="FQ28" i="2"/>
  <c r="FQ29" i="2"/>
  <c r="FQ30" i="2" s="1"/>
  <c r="FQ31" i="2"/>
  <c r="FT20" i="2"/>
  <c r="FQ5" i="2"/>
  <c r="FQ10" i="2"/>
  <c r="FT9" i="2"/>
  <c r="FT4" i="2"/>
  <c r="FT3" i="2"/>
  <c r="GZ25" i="4" l="1"/>
  <c r="HG26" i="4"/>
  <c r="HG25" i="4"/>
  <c r="GZ26" i="4"/>
  <c r="GQ30" i="2"/>
  <c r="GW30" i="2" s="1"/>
  <c r="HD30" i="2" s="1"/>
  <c r="GW8" i="2"/>
  <c r="GQ27" i="2"/>
  <c r="GW27" i="2" s="1"/>
  <c r="GW5" i="2"/>
  <c r="GP36" i="2"/>
  <c r="GW42" i="2" s="1"/>
  <c r="GQ42" i="2"/>
  <c r="GS26" i="4"/>
  <c r="GS25" i="4"/>
  <c r="GL26" i="4"/>
  <c r="FY32" i="2"/>
  <c r="GA29" i="2"/>
  <c r="GL27" i="2"/>
  <c r="GQ32" i="2"/>
  <c r="GL42" i="2"/>
  <c r="GA10" i="2"/>
  <c r="GO19" i="2"/>
  <c r="GO26" i="2"/>
  <c r="GA5" i="2"/>
  <c r="GL32" i="2"/>
  <c r="GA26" i="2"/>
  <c r="GA16" i="2"/>
  <c r="GA31" i="2"/>
  <c r="GA8" i="2"/>
  <c r="FW32" i="2"/>
  <c r="GO8" i="2"/>
  <c r="GK42" i="2"/>
  <c r="GO5" i="2"/>
  <c r="GA19" i="2"/>
  <c r="GJ27" i="2"/>
  <c r="GO29" i="2"/>
  <c r="GA28" i="2"/>
  <c r="GO28" i="2"/>
  <c r="GO10" i="2"/>
  <c r="GK32" i="2"/>
  <c r="GO30" i="2"/>
  <c r="GK27" i="2"/>
  <c r="FV32" i="2"/>
  <c r="GM32" i="2"/>
  <c r="GO21" i="2"/>
  <c r="GI32" i="2"/>
  <c r="GM27" i="2"/>
  <c r="GO31" i="2"/>
  <c r="GL25" i="4"/>
  <c r="GO25" i="2"/>
  <c r="GO16" i="2"/>
  <c r="GI36" i="2"/>
  <c r="GO42" i="2" s="1"/>
  <c r="GI37" i="2"/>
  <c r="GJ32" i="2"/>
  <c r="GA25" i="2"/>
  <c r="FY27" i="2"/>
  <c r="GA27" i="2" s="1"/>
  <c r="GA21" i="2"/>
  <c r="FU37" i="2"/>
  <c r="FU42" i="2" s="1"/>
  <c r="FX32" i="2"/>
  <c r="FU36" i="2"/>
  <c r="FX42" i="2" s="1"/>
  <c r="FU32" i="2"/>
  <c r="FT25" i="2"/>
  <c r="FT29" i="2"/>
  <c r="FQ32" i="2"/>
  <c r="FT26" i="2"/>
  <c r="FT10" i="2"/>
  <c r="FQ27" i="2"/>
  <c r="FT21" i="2"/>
  <c r="FQ8" i="2"/>
  <c r="FP25" i="2"/>
  <c r="FP26" i="2"/>
  <c r="FP28" i="2"/>
  <c r="FP29" i="2"/>
  <c r="FP30" i="2" s="1"/>
  <c r="FP31" i="2"/>
  <c r="FP21" i="2"/>
  <c r="FP16" i="2"/>
  <c r="FP27" i="2" s="1"/>
  <c r="FP19" i="2"/>
  <c r="FP5" i="2"/>
  <c r="FP8" i="2"/>
  <c r="FP10" i="2"/>
  <c r="FO40" i="2"/>
  <c r="FN40" i="2"/>
  <c r="FO16" i="2"/>
  <c r="FO27" i="2" s="1"/>
  <c r="FO19" i="2"/>
  <c r="FO21" i="2"/>
  <c r="FO25" i="2"/>
  <c r="FO26" i="2"/>
  <c r="FO28" i="2"/>
  <c r="FO29" i="2"/>
  <c r="FO30" i="2" s="1"/>
  <c r="FO31" i="2"/>
  <c r="FO5" i="2"/>
  <c r="FO8" i="2"/>
  <c r="FO10" i="2"/>
  <c r="EE44" i="2"/>
  <c r="EF44" i="2"/>
  <c r="EM44" i="2"/>
  <c r="EN44" i="2"/>
  <c r="EU44" i="2"/>
  <c r="EV44" i="2"/>
  <c r="FC44" i="2"/>
  <c r="FD44" i="2"/>
  <c r="FN8" i="2"/>
  <c r="FN21" i="2"/>
  <c r="FN19" i="2"/>
  <c r="FN16" i="2"/>
  <c r="FN25" i="2"/>
  <c r="FN26" i="2"/>
  <c r="FN28" i="2"/>
  <c r="FN29" i="2"/>
  <c r="FN30" i="2" s="1"/>
  <c r="FN31" i="2"/>
  <c r="FN5" i="2"/>
  <c r="FN10" i="2"/>
  <c r="FL20" i="2"/>
  <c r="FL18" i="2"/>
  <c r="FL17" i="2"/>
  <c r="FL15" i="2"/>
  <c r="FL14" i="2"/>
  <c r="FL9" i="2"/>
  <c r="FL7" i="2"/>
  <c r="FL6" i="2"/>
  <c r="FL4" i="2"/>
  <c r="FL3" i="2"/>
  <c r="FJ21" i="2"/>
  <c r="FJ16" i="2"/>
  <c r="FJ27" i="2" s="1"/>
  <c r="FJ19" i="2"/>
  <c r="FJ25" i="2"/>
  <c r="FJ26" i="2"/>
  <c r="FJ28" i="2"/>
  <c r="FJ29" i="2"/>
  <c r="FJ30" i="2" s="1"/>
  <c r="FJ31" i="2"/>
  <c r="FJ5" i="2"/>
  <c r="FJ8" i="2"/>
  <c r="FJ10" i="2"/>
  <c r="FI21" i="2"/>
  <c r="FI16" i="2"/>
  <c r="FI27" i="2" s="1"/>
  <c r="FI19" i="2"/>
  <c r="FG43" i="2"/>
  <c r="FI25" i="2"/>
  <c r="FI26" i="2"/>
  <c r="FI28" i="2"/>
  <c r="FI29" i="2"/>
  <c r="FI30" i="2" s="1"/>
  <c r="FI31" i="2"/>
  <c r="FI5" i="2"/>
  <c r="FI8" i="2"/>
  <c r="FI10" i="2"/>
  <c r="FH16" i="2"/>
  <c r="FH21" i="2"/>
  <c r="FH19" i="2"/>
  <c r="FI18" i="3"/>
  <c r="FP18" i="3"/>
  <c r="FW18" i="3"/>
  <c r="GD18" i="3"/>
  <c r="FE6" i="2"/>
  <c r="FE20" i="2"/>
  <c r="FE18" i="2"/>
  <c r="FE17" i="2"/>
  <c r="FE15" i="2"/>
  <c r="FE14" i="2"/>
  <c r="FE9" i="2"/>
  <c r="FE7" i="2"/>
  <c r="FE4" i="2"/>
  <c r="FE3" i="2"/>
  <c r="FH8" i="2"/>
  <c r="FH31" i="2"/>
  <c r="FH29" i="2"/>
  <c r="FH30" i="2" s="1"/>
  <c r="FH28" i="2"/>
  <c r="FH26" i="2"/>
  <c r="FH25" i="2"/>
  <c r="FH10" i="2"/>
  <c r="FH5" i="2"/>
  <c r="FB16" i="2"/>
  <c r="FB27" i="2" s="1"/>
  <c r="FB19" i="2"/>
  <c r="FB21" i="2"/>
  <c r="FB25" i="2"/>
  <c r="FB26" i="2"/>
  <c r="FB28" i="2"/>
  <c r="FB44" i="2" s="1"/>
  <c r="FB29" i="2"/>
  <c r="FB30" i="2" s="1"/>
  <c r="FB31" i="2"/>
  <c r="FB5" i="2"/>
  <c r="FB8" i="2"/>
  <c r="FB10" i="2"/>
  <c r="FA8" i="2"/>
  <c r="FA10" i="2"/>
  <c r="FA16" i="2"/>
  <c r="FA27" i="2" s="1"/>
  <c r="FA19" i="2"/>
  <c r="FA21" i="2"/>
  <c r="FA25" i="2"/>
  <c r="FA26" i="2"/>
  <c r="FA28" i="2"/>
  <c r="FA44" i="2" s="1"/>
  <c r="FA29" i="2"/>
  <c r="FA30" i="2" s="1"/>
  <c r="FA31" i="2"/>
  <c r="EZ5" i="2"/>
  <c r="EZ8" i="2"/>
  <c r="EZ10" i="2"/>
  <c r="EZ16" i="2"/>
  <c r="EZ19" i="2"/>
  <c r="EZ21" i="2"/>
  <c r="EZ25" i="2"/>
  <c r="EZ26" i="2"/>
  <c r="EZ28" i="2"/>
  <c r="EZ44" i="2" s="1"/>
  <c r="EZ29" i="2"/>
  <c r="EZ30" i="2" s="1"/>
  <c r="EZ31" i="2"/>
  <c r="EY16" i="2"/>
  <c r="EY8" i="2"/>
  <c r="EX16" i="2"/>
  <c r="EX41" i="2"/>
  <c r="EX25" i="2"/>
  <c r="EY40" i="2"/>
  <c r="EZ40" i="2"/>
  <c r="FA40" i="2"/>
  <c r="FB40" i="2"/>
  <c r="FC40" i="2"/>
  <c r="FD40" i="2"/>
  <c r="FE40" i="2"/>
  <c r="EY19" i="2"/>
  <c r="EY21" i="2"/>
  <c r="EY25" i="2"/>
  <c r="EY26" i="2"/>
  <c r="EY28" i="2"/>
  <c r="EY44" i="2" s="1"/>
  <c r="EY29" i="2"/>
  <c r="EY30" i="2" s="1"/>
  <c r="EY31" i="2"/>
  <c r="EX8" i="2"/>
  <c r="EY5" i="2"/>
  <c r="EY10" i="2"/>
  <c r="EX40" i="2"/>
  <c r="EX21" i="2"/>
  <c r="EX19" i="2"/>
  <c r="EX31" i="2"/>
  <c r="EX29" i="2"/>
  <c r="EX30" i="2" s="1"/>
  <c r="EX28" i="2"/>
  <c r="EX44" i="2" s="1"/>
  <c r="EX26" i="2"/>
  <c r="EX10" i="2"/>
  <c r="EX5" i="2"/>
  <c r="ET10" i="2"/>
  <c r="GO32" i="2" l="1"/>
  <c r="GA32" i="2"/>
  <c r="GO27" i="2"/>
  <c r="EX27" i="2"/>
  <c r="EX54" i="2" s="1"/>
  <c r="FL21" i="2"/>
  <c r="FT30" i="2"/>
  <c r="GA30" i="2" s="1"/>
  <c r="GJ42" i="2"/>
  <c r="FT28" i="2"/>
  <c r="FT31" i="2"/>
  <c r="FT32" i="2" s="1"/>
  <c r="FT8" i="2"/>
  <c r="FL31" i="2"/>
  <c r="FL8" i="2"/>
  <c r="FE5" i="2"/>
  <c r="FE21" i="2"/>
  <c r="FE26" i="2"/>
  <c r="EZ27" i="2"/>
  <c r="FF36" i="2"/>
  <c r="FT19" i="2"/>
  <c r="EY27" i="2"/>
  <c r="EY54" i="2" s="1"/>
  <c r="FL29" i="2"/>
  <c r="FE30" i="2"/>
  <c r="FL30" i="2" s="1"/>
  <c r="FL5" i="2"/>
  <c r="FL19" i="2"/>
  <c r="FE25" i="2"/>
  <c r="FL16" i="2"/>
  <c r="FI32" i="2"/>
  <c r="FE19" i="2"/>
  <c r="FE8" i="2"/>
  <c r="FF37" i="2"/>
  <c r="FE29" i="2"/>
  <c r="FE31" i="2"/>
  <c r="FE16" i="2"/>
  <c r="FH27" i="2"/>
  <c r="FL27" i="2" s="1"/>
  <c r="FL28" i="2"/>
  <c r="FT5" i="2"/>
  <c r="FL26" i="2"/>
  <c r="FN27" i="2"/>
  <c r="FT27" i="2" s="1"/>
  <c r="FT16" i="2"/>
  <c r="FE28" i="2"/>
  <c r="FE10" i="2"/>
  <c r="FO32" i="2"/>
  <c r="FP32" i="2"/>
  <c r="FM36" i="2"/>
  <c r="FP42" i="2" s="1"/>
  <c r="FM37" i="2"/>
  <c r="FN32" i="2"/>
  <c r="FL25" i="2"/>
  <c r="FL10" i="2"/>
  <c r="FJ32" i="2"/>
  <c r="FH32" i="2"/>
  <c r="FB32" i="2"/>
  <c r="FA32" i="2"/>
  <c r="EX37" i="2"/>
  <c r="EX36" i="2"/>
  <c r="EZ32" i="2"/>
  <c r="EY32" i="2"/>
  <c r="EX32" i="2"/>
  <c r="EW20" i="2"/>
  <c r="EW18" i="2"/>
  <c r="EW17" i="2"/>
  <c r="EW15" i="2"/>
  <c r="EW14" i="2"/>
  <c r="EW9" i="2"/>
  <c r="EW7" i="2"/>
  <c r="EW6" i="2"/>
  <c r="EW4" i="2"/>
  <c r="EW3" i="2"/>
  <c r="ET40" i="2"/>
  <c r="ET16" i="2"/>
  <c r="ET21" i="2"/>
  <c r="ET19" i="2"/>
  <c r="ET25" i="2"/>
  <c r="ET50" i="2" s="1"/>
  <c r="ET26" i="2"/>
  <c r="ET28" i="2"/>
  <c r="ET44" i="2" s="1"/>
  <c r="ET29" i="2"/>
  <c r="ET30" i="2" s="1"/>
  <c r="ET56" i="2" s="1"/>
  <c r="ET31" i="2"/>
  <c r="EQ40" i="2"/>
  <c r="ER40" i="2"/>
  <c r="ES40" i="2"/>
  <c r="EP40" i="2"/>
  <c r="ET5" i="2"/>
  <c r="ET8" i="2"/>
  <c r="ES21" i="2"/>
  <c r="ES19" i="2"/>
  <c r="ES16" i="2"/>
  <c r="ES25" i="2"/>
  <c r="ES50" i="2" s="1"/>
  <c r="ES26" i="2"/>
  <c r="ES28" i="2"/>
  <c r="ES44" i="2" s="1"/>
  <c r="ES29" i="2"/>
  <c r="ES30" i="2" s="1"/>
  <c r="ES56" i="2" s="1"/>
  <c r="ES31" i="2"/>
  <c r="ES5" i="2"/>
  <c r="ES8" i="2"/>
  <c r="ES10" i="2"/>
  <c r="ER21" i="2"/>
  <c r="ER16" i="2"/>
  <c r="ER19" i="2"/>
  <c r="ER25" i="2"/>
  <c r="ER26" i="2"/>
  <c r="ER28" i="2"/>
  <c r="ER44" i="2" s="1"/>
  <c r="ER29" i="2"/>
  <c r="ER30" i="2" s="1"/>
  <c r="ER56" i="2" s="1"/>
  <c r="ER31" i="2"/>
  <c r="ER5" i="2"/>
  <c r="ER8" i="2"/>
  <c r="ER10" i="2"/>
  <c r="EQ21" i="2"/>
  <c r="EQ19" i="2"/>
  <c r="EQ16" i="2"/>
  <c r="EQ25" i="2"/>
  <c r="EQ50" i="2" s="1"/>
  <c r="EQ26" i="2"/>
  <c r="EQ28" i="2"/>
  <c r="EQ44" i="2" s="1"/>
  <c r="EQ29" i="2"/>
  <c r="EQ30" i="2" s="1"/>
  <c r="EQ56" i="2" s="1"/>
  <c r="EQ31" i="2"/>
  <c r="EQ8" i="2"/>
  <c r="EQ5" i="2"/>
  <c r="EQ10" i="2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GI24" i="4"/>
  <c r="GJ24" i="4"/>
  <c r="GK24" i="4"/>
  <c r="EL21" i="2"/>
  <c r="EP21" i="2"/>
  <c r="EP16" i="2"/>
  <c r="EP19" i="2"/>
  <c r="EX48" i="2"/>
  <c r="EY48" i="2"/>
  <c r="EZ48" i="2"/>
  <c r="FA48" i="2"/>
  <c r="FB48" i="2"/>
  <c r="FC48" i="2"/>
  <c r="FD48" i="2"/>
  <c r="EX50" i="2"/>
  <c r="EY50" i="2"/>
  <c r="EZ50" i="2"/>
  <c r="FA50" i="2"/>
  <c r="FB50" i="2"/>
  <c r="FC50" i="2"/>
  <c r="FD50" i="2"/>
  <c r="FE50" i="2"/>
  <c r="FE52" i="2"/>
  <c r="FA54" i="2"/>
  <c r="FB54" i="2"/>
  <c r="FC54" i="2"/>
  <c r="FD54" i="2"/>
  <c r="FE54" i="2"/>
  <c r="EX56" i="2"/>
  <c r="EY56" i="2"/>
  <c r="EZ56" i="2"/>
  <c r="FA56" i="2"/>
  <c r="FB56" i="2"/>
  <c r="FC56" i="2"/>
  <c r="FD56" i="2"/>
  <c r="FE56" i="2"/>
  <c r="FE58" i="2"/>
  <c r="EX60" i="2"/>
  <c r="EY60" i="2"/>
  <c r="EZ60" i="2"/>
  <c r="FA60" i="2"/>
  <c r="FB60" i="2"/>
  <c r="FC60" i="2"/>
  <c r="FD60" i="2"/>
  <c r="FE60" i="2"/>
  <c r="FE62" i="2"/>
  <c r="EP48" i="2"/>
  <c r="EQ48" i="2"/>
  <c r="ER48" i="2"/>
  <c r="ES48" i="2"/>
  <c r="ET48" i="2"/>
  <c r="EU48" i="2"/>
  <c r="EV48" i="2"/>
  <c r="EU50" i="2"/>
  <c r="EW52" i="2"/>
  <c r="EU54" i="2"/>
  <c r="EV54" i="2"/>
  <c r="EU56" i="2"/>
  <c r="EV56" i="2"/>
  <c r="EW58" i="2"/>
  <c r="EP60" i="2"/>
  <c r="EQ60" i="2"/>
  <c r="ER60" i="2"/>
  <c r="ES60" i="2"/>
  <c r="ET60" i="2"/>
  <c r="EU60" i="2"/>
  <c r="EV60" i="2"/>
  <c r="EW60" i="2"/>
  <c r="EW62" i="2"/>
  <c r="EG52" i="2"/>
  <c r="EO52" i="2"/>
  <c r="EG58" i="2"/>
  <c r="EG62" i="2"/>
  <c r="FX25" i="4" l="1"/>
  <c r="EV25" i="4"/>
  <c r="FJ25" i="4"/>
  <c r="FC25" i="4"/>
  <c r="EV26" i="4"/>
  <c r="FJ26" i="4"/>
  <c r="FE32" i="2"/>
  <c r="EW29" i="2"/>
  <c r="EW10" i="2"/>
  <c r="FE27" i="2"/>
  <c r="FL32" i="2"/>
  <c r="GE25" i="4"/>
  <c r="GE26" i="4"/>
  <c r="FX26" i="4"/>
  <c r="FQ25" i="4"/>
  <c r="FQ26" i="4"/>
  <c r="EZ54" i="2"/>
  <c r="EW21" i="2"/>
  <c r="ET27" i="2"/>
  <c r="ET54" i="2" s="1"/>
  <c r="ER27" i="2"/>
  <c r="ER54" i="2" s="1"/>
  <c r="EW26" i="2"/>
  <c r="ET32" i="2"/>
  <c r="EW25" i="2"/>
  <c r="EW16" i="2"/>
  <c r="EW19" i="2"/>
  <c r="FC26" i="4"/>
  <c r="ES27" i="2"/>
  <c r="ES54" i="2" s="1"/>
  <c r="ES32" i="2"/>
  <c r="ER32" i="2"/>
  <c r="ER50" i="2"/>
  <c r="EQ27" i="2"/>
  <c r="EQ54" i="2" s="1"/>
  <c r="EQ32" i="2"/>
  <c r="EO58" i="2"/>
  <c r="EO62" i="2"/>
  <c r="EH48" i="2"/>
  <c r="EI48" i="2"/>
  <c r="EJ48" i="2"/>
  <c r="EK48" i="2"/>
  <c r="EL48" i="2"/>
  <c r="EM48" i="2"/>
  <c r="EN48" i="2"/>
  <c r="EM50" i="2"/>
  <c r="EN50" i="2"/>
  <c r="EM54" i="2"/>
  <c r="EN54" i="2"/>
  <c r="EM56" i="2"/>
  <c r="EN56" i="2"/>
  <c r="EH60" i="2"/>
  <c r="EI60" i="2"/>
  <c r="EJ60" i="2"/>
  <c r="EK60" i="2"/>
  <c r="EL60" i="2"/>
  <c r="EM60" i="2"/>
  <c r="EN60" i="2"/>
  <c r="EO60" i="2"/>
  <c r="EF48" i="2"/>
  <c r="EF50" i="2"/>
  <c r="EF54" i="2"/>
  <c r="EF56" i="2"/>
  <c r="EF60" i="2"/>
  <c r="EG60" i="2"/>
  <c r="EA48" i="2"/>
  <c r="EB48" i="2"/>
  <c r="EC48" i="2"/>
  <c r="ED48" i="2"/>
  <c r="EE48" i="2"/>
  <c r="DZ48" i="2"/>
  <c r="EA60" i="2"/>
  <c r="EB60" i="2"/>
  <c r="EC60" i="2"/>
  <c r="ED60" i="2"/>
  <c r="EE60" i="2"/>
  <c r="DZ60" i="2"/>
  <c r="EE56" i="2"/>
  <c r="EE54" i="2"/>
  <c r="EE50" i="2"/>
  <c r="EP31" i="2"/>
  <c r="EW31" i="2" s="1"/>
  <c r="EP29" i="2"/>
  <c r="EP30" i="2" s="1"/>
  <c r="EP28" i="2"/>
  <c r="EP26" i="2"/>
  <c r="EP37" i="2" s="1"/>
  <c r="EP25" i="2"/>
  <c r="EO4" i="2"/>
  <c r="EO3" i="2"/>
  <c r="EO17" i="2"/>
  <c r="EP10" i="2"/>
  <c r="EP8" i="2"/>
  <c r="EW8" i="2" s="1"/>
  <c r="EP5" i="2"/>
  <c r="EO6" i="2"/>
  <c r="EO7" i="2"/>
  <c r="EO18" i="2"/>
  <c r="EG4" i="2"/>
  <c r="EG6" i="2"/>
  <c r="EG7" i="2"/>
  <c r="EG14" i="2"/>
  <c r="EG15" i="2"/>
  <c r="EG17" i="2"/>
  <c r="EG18" i="2"/>
  <c r="EO9" i="2"/>
  <c r="EO20" i="2"/>
  <c r="EO15" i="2"/>
  <c r="EO14" i="2"/>
  <c r="EH41" i="2"/>
  <c r="EL25" i="2"/>
  <c r="EL50" i="2" s="1"/>
  <c r="EL26" i="2"/>
  <c r="EL28" i="2"/>
  <c r="EL44" i="2" s="1"/>
  <c r="EL29" i="2"/>
  <c r="EL30" i="2" s="1"/>
  <c r="EL56" i="2" s="1"/>
  <c r="EL31" i="2"/>
  <c r="EL16" i="2"/>
  <c r="EL19" i="2"/>
  <c r="EL5" i="2"/>
  <c r="EL8" i="2"/>
  <c r="EL10" i="2"/>
  <c r="EK26" i="2"/>
  <c r="EK25" i="2"/>
  <c r="EK50" i="2" s="1"/>
  <c r="EN18" i="3"/>
  <c r="EU18" i="3"/>
  <c r="FB18" i="3"/>
  <c r="EG18" i="3"/>
  <c r="EK16" i="2"/>
  <c r="EK19" i="2"/>
  <c r="EK21" i="2"/>
  <c r="EK28" i="2"/>
  <c r="EK44" i="2" s="1"/>
  <c r="EK29" i="2"/>
  <c r="EK30" i="2" s="1"/>
  <c r="EK56" i="2" s="1"/>
  <c r="EK31" i="2"/>
  <c r="EK5" i="2"/>
  <c r="EK8" i="2"/>
  <c r="EK10" i="2"/>
  <c r="EJ19" i="2"/>
  <c r="EJ16" i="2"/>
  <c r="EJ21" i="2"/>
  <c r="EJ31" i="2"/>
  <c r="EJ29" i="2"/>
  <c r="EJ30" i="2" s="1"/>
  <c r="EJ56" i="2" s="1"/>
  <c r="EJ28" i="2"/>
  <c r="EJ44" i="2" s="1"/>
  <c r="EJ26" i="2"/>
  <c r="EJ25" i="2"/>
  <c r="EJ50" i="2" s="1"/>
  <c r="EJ10" i="2"/>
  <c r="EJ8" i="2"/>
  <c r="EJ5" i="2"/>
  <c r="EI25" i="2"/>
  <c r="EI50" i="2" s="1"/>
  <c r="EI26" i="2"/>
  <c r="EI28" i="2"/>
  <c r="EI44" i="2" s="1"/>
  <c r="EI29" i="2"/>
  <c r="EI30" i="2" s="1"/>
  <c r="EI56" i="2" s="1"/>
  <c r="EI31" i="2"/>
  <c r="EI19" i="2"/>
  <c r="EI16" i="2"/>
  <c r="EI21" i="2"/>
  <c r="EI5" i="2"/>
  <c r="EI8" i="2"/>
  <c r="EI10" i="2"/>
  <c r="DZ41" i="2"/>
  <c r="GB41" i="2"/>
  <c r="GX41" i="2"/>
  <c r="HE41" i="2"/>
  <c r="FF41" i="2"/>
  <c r="EH28" i="2"/>
  <c r="EH44" i="2" s="1"/>
  <c r="EH21" i="2"/>
  <c r="EH19" i="2"/>
  <c r="EH31" i="2"/>
  <c r="EH29" i="2"/>
  <c r="EH30" i="2" s="1"/>
  <c r="EH56" i="2" s="1"/>
  <c r="EH26" i="2"/>
  <c r="EH25" i="2"/>
  <c r="EH50" i="2" s="1"/>
  <c r="EH16" i="2"/>
  <c r="EH10" i="2"/>
  <c r="EH8" i="2"/>
  <c r="EH5" i="2"/>
  <c r="EG20" i="2"/>
  <c r="EG9" i="2"/>
  <c r="EG3" i="2"/>
  <c r="ED16" i="3"/>
  <c r="ED21" i="2"/>
  <c r="ED16" i="2"/>
  <c r="ED19" i="2"/>
  <c r="ED5" i="2"/>
  <c r="ED25" i="2"/>
  <c r="ED50" i="2" s="1"/>
  <c r="ED26" i="2"/>
  <c r="ED28" i="2"/>
  <c r="ED44" i="2" s="1"/>
  <c r="ED29" i="2"/>
  <c r="ED30" i="2" s="1"/>
  <c r="ED56" i="2" s="1"/>
  <c r="ED31" i="2"/>
  <c r="EC28" i="2"/>
  <c r="EC44" i="2" s="1"/>
  <c r="ED8" i="2"/>
  <c r="ED10" i="2"/>
  <c r="EC16" i="3"/>
  <c r="EC16" i="2"/>
  <c r="EC31" i="2"/>
  <c r="EC29" i="2"/>
  <c r="EC30" i="2" s="1"/>
  <c r="EC56" i="2" s="1"/>
  <c r="EC26" i="2"/>
  <c r="EC25" i="2"/>
  <c r="EC50" i="2" s="1"/>
  <c r="EC21" i="2"/>
  <c r="EC19" i="2"/>
  <c r="DK9" i="2"/>
  <c r="DK7" i="2"/>
  <c r="DK29" i="2" s="1"/>
  <c r="DK6" i="2"/>
  <c r="DK4" i="2"/>
  <c r="DK26" i="2" s="1"/>
  <c r="DK3" i="2"/>
  <c r="DK25" i="2" s="1"/>
  <c r="DK21" i="2"/>
  <c r="DK19" i="2"/>
  <c r="DK16" i="2"/>
  <c r="EW32" i="2" l="1"/>
  <c r="EW28" i="2"/>
  <c r="EP44" i="2"/>
  <c r="EP56" i="2"/>
  <c r="EW30" i="2"/>
  <c r="EW56" i="2" s="1"/>
  <c r="EP27" i="2"/>
  <c r="EW5" i="2"/>
  <c r="EP36" i="2"/>
  <c r="EP50" i="2"/>
  <c r="EW50" i="2" s="1"/>
  <c r="EP32" i="2"/>
  <c r="EG29" i="2"/>
  <c r="EO25" i="2"/>
  <c r="EO50" i="2" s="1"/>
  <c r="EO19" i="2"/>
  <c r="EO5" i="2"/>
  <c r="EO8" i="2"/>
  <c r="EO31" i="2"/>
  <c r="EO30" i="2"/>
  <c r="EO56" i="2" s="1"/>
  <c r="EG26" i="2"/>
  <c r="EH27" i="2"/>
  <c r="EH54" i="2" s="1"/>
  <c r="EO28" i="2"/>
  <c r="EO26" i="2"/>
  <c r="EO21" i="2"/>
  <c r="EO16" i="2"/>
  <c r="EO10" i="2"/>
  <c r="EO29" i="2"/>
  <c r="EK32" i="2"/>
  <c r="EG21" i="2"/>
  <c r="EI27" i="2"/>
  <c r="EI54" i="2" s="1"/>
  <c r="EC32" i="2"/>
  <c r="EG25" i="2"/>
  <c r="EG50" i="2" s="1"/>
  <c r="EG10" i="2"/>
  <c r="EL27" i="2"/>
  <c r="EL54" i="2" s="1"/>
  <c r="EH32" i="2"/>
  <c r="EK27" i="2"/>
  <c r="EK54" i="2" s="1"/>
  <c r="DK10" i="2"/>
  <c r="EI32" i="2"/>
  <c r="EL32" i="2"/>
  <c r="EH37" i="2"/>
  <c r="EJ32" i="2"/>
  <c r="EJ27" i="2"/>
  <c r="EJ54" i="2" s="1"/>
  <c r="EH36" i="2"/>
  <c r="ED27" i="2"/>
  <c r="ED54" i="2" s="1"/>
  <c r="ED32" i="2"/>
  <c r="EP54" i="2" l="1"/>
  <c r="EW27" i="2"/>
  <c r="EW54" i="2" s="1"/>
  <c r="EO27" i="2"/>
  <c r="EO54" i="2" s="1"/>
  <c r="EO32" i="2"/>
  <c r="EC8" i="2"/>
  <c r="EA8" i="2"/>
  <c r="EB8" i="2"/>
  <c r="EC5" i="2"/>
  <c r="EC27" i="2" s="1"/>
  <c r="EC54" i="2" s="1"/>
  <c r="EC10" i="2"/>
  <c r="EB16" i="3"/>
  <c r="EB21" i="2"/>
  <c r="EB16" i="2"/>
  <c r="EB19" i="2"/>
  <c r="EB25" i="2"/>
  <c r="EB50" i="2" s="1"/>
  <c r="EB26" i="2"/>
  <c r="EB28" i="2"/>
  <c r="EB44" i="2" s="1"/>
  <c r="EB29" i="2"/>
  <c r="EB30" i="2" s="1"/>
  <c r="EB56" i="2" s="1"/>
  <c r="EB31" i="2"/>
  <c r="EB5" i="2"/>
  <c r="EB10" i="2"/>
  <c r="EA21" i="2"/>
  <c r="EA16" i="2"/>
  <c r="EA16" i="3"/>
  <c r="DZ16" i="3"/>
  <c r="EA19" i="2"/>
  <c r="EA28" i="2"/>
  <c r="EA44" i="2" s="1"/>
  <c r="EA29" i="2"/>
  <c r="EA30" i="2" s="1"/>
  <c r="EA56" i="2" s="1"/>
  <c r="EA31" i="2"/>
  <c r="EA25" i="2"/>
  <c r="EA50" i="2" s="1"/>
  <c r="EA26" i="2"/>
  <c r="EA5" i="2"/>
  <c r="EA10" i="2"/>
  <c r="DZ21" i="2"/>
  <c r="DZ16" i="2"/>
  <c r="DZ19" i="2"/>
  <c r="DZ31" i="2"/>
  <c r="DZ29" i="2"/>
  <c r="DZ30" i="2" s="1"/>
  <c r="DZ56" i="2" s="1"/>
  <c r="DZ28" i="2"/>
  <c r="DZ26" i="2"/>
  <c r="DZ25" i="2"/>
  <c r="DZ50" i="2" s="1"/>
  <c r="DY20" i="2"/>
  <c r="DY18" i="2"/>
  <c r="DY17" i="2"/>
  <c r="DY15" i="2"/>
  <c r="DY14" i="2"/>
  <c r="DY9" i="2"/>
  <c r="DY7" i="2"/>
  <c r="DY6" i="2"/>
  <c r="DY4" i="2"/>
  <c r="DY3" i="2"/>
  <c r="DZ10" i="2"/>
  <c r="DZ8" i="2"/>
  <c r="DZ5" i="2"/>
  <c r="DV26" i="2"/>
  <c r="DV25" i="2"/>
  <c r="DV16" i="2"/>
  <c r="DV28" i="2"/>
  <c r="DV29" i="2"/>
  <c r="DV30" i="2" s="1"/>
  <c r="DV31" i="2"/>
  <c r="DV21" i="2"/>
  <c r="DV19" i="2"/>
  <c r="DV5" i="2"/>
  <c r="DV8" i="2"/>
  <c r="DV10" i="2"/>
  <c r="DU16" i="2"/>
  <c r="DU19" i="2"/>
  <c r="DU21" i="2"/>
  <c r="DU31" i="2"/>
  <c r="DU29" i="2"/>
  <c r="DU30" i="2" s="1"/>
  <c r="DU28" i="2"/>
  <c r="DU26" i="2"/>
  <c r="DU25" i="2"/>
  <c r="DU10" i="2"/>
  <c r="DU8" i="2"/>
  <c r="DU5" i="2"/>
  <c r="DT31" i="2"/>
  <c r="EG31" i="2" l="1"/>
  <c r="EG32" i="2" s="1"/>
  <c r="EG30" i="2"/>
  <c r="EG56" i="2" s="1"/>
  <c r="EG5" i="2"/>
  <c r="EG16" i="2"/>
  <c r="EG28" i="2"/>
  <c r="EB32" i="2"/>
  <c r="DZ27" i="2"/>
  <c r="DZ54" i="2" s="1"/>
  <c r="DY29" i="2"/>
  <c r="EG19" i="2"/>
  <c r="DY25" i="2"/>
  <c r="DV32" i="2"/>
  <c r="EB27" i="2"/>
  <c r="EB54" i="2" s="1"/>
  <c r="DU27" i="2"/>
  <c r="DV27" i="2"/>
  <c r="DY26" i="2"/>
  <c r="DY21" i="2"/>
  <c r="EG8" i="2"/>
  <c r="DY10" i="2"/>
  <c r="EA27" i="2"/>
  <c r="EA54" i="2" s="1"/>
  <c r="DZ18" i="3"/>
  <c r="EA32" i="2"/>
  <c r="DZ37" i="2"/>
  <c r="DZ36" i="2"/>
  <c r="FD42" i="2" s="1"/>
  <c r="DZ32" i="2"/>
  <c r="DU32" i="2"/>
  <c r="DT21" i="2"/>
  <c r="DT16" i="2"/>
  <c r="DT19" i="2"/>
  <c r="DT29" i="2"/>
  <c r="DT30" i="2" s="1"/>
  <c r="DT28" i="2"/>
  <c r="DY28" i="2" s="1"/>
  <c r="DT26" i="2"/>
  <c r="DT25" i="2"/>
  <c r="DT10" i="2"/>
  <c r="DT8" i="2"/>
  <c r="DT5" i="2"/>
  <c r="DT16" i="3"/>
  <c r="DU16" i="3"/>
  <c r="DV16" i="3"/>
  <c r="DW16" i="3"/>
  <c r="DX16" i="3"/>
  <c r="DY16" i="3"/>
  <c r="DS16" i="3"/>
  <c r="EG27" i="2" l="1"/>
  <c r="EG54" i="2" s="1"/>
  <c r="DT27" i="2"/>
  <c r="DY27" i="2" s="1"/>
  <c r="DS18" i="3"/>
  <c r="DT32" i="2"/>
  <c r="DS31" i="2"/>
  <c r="DY31" i="2" s="1"/>
  <c r="DY32" i="2" s="1"/>
  <c r="DS29" i="2"/>
  <c r="DS30" i="2" s="1"/>
  <c r="DY30" i="2" s="1"/>
  <c r="DS28" i="2"/>
  <c r="DS26" i="2"/>
  <c r="DS37" i="2" s="1"/>
  <c r="DS25" i="2"/>
  <c r="DS36" i="2" s="1"/>
  <c r="DS21" i="2"/>
  <c r="DS19" i="2"/>
  <c r="DY19" i="2" s="1"/>
  <c r="DS16" i="2"/>
  <c r="DS10" i="2"/>
  <c r="DS8" i="2"/>
  <c r="DY8" i="2" s="1"/>
  <c r="DS5" i="2"/>
  <c r="DY5" i="2" s="1"/>
  <c r="DP21" i="2"/>
  <c r="DR20" i="2"/>
  <c r="DR18" i="2"/>
  <c r="DR17" i="2"/>
  <c r="DR15" i="2"/>
  <c r="DR14" i="2"/>
  <c r="DR9" i="2"/>
  <c r="DR7" i="2"/>
  <c r="DR6" i="2"/>
  <c r="DR4" i="2"/>
  <c r="DR3" i="2"/>
  <c r="DP19" i="2"/>
  <c r="DP16" i="2"/>
  <c r="DQ23" i="4"/>
  <c r="DN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DM23" i="4"/>
  <c r="DM25" i="4" s="1"/>
  <c r="DO23" i="4"/>
  <c r="DP23" i="4"/>
  <c r="DR23" i="4"/>
  <c r="DS23" i="4"/>
  <c r="DM24" i="4"/>
  <c r="DN24" i="4"/>
  <c r="DO24" i="4"/>
  <c r="DP24" i="4"/>
  <c r="DQ24" i="4"/>
  <c r="DR24" i="4"/>
  <c r="DS24" i="4"/>
  <c r="DP28" i="2"/>
  <c r="DP29" i="2"/>
  <c r="DP30" i="2" s="1"/>
  <c r="DP31" i="2"/>
  <c r="DP25" i="2"/>
  <c r="DP26" i="2"/>
  <c r="DO16" i="2"/>
  <c r="DO21" i="2"/>
  <c r="DO19" i="2"/>
  <c r="DP10" i="2"/>
  <c r="DP5" i="2"/>
  <c r="DP8" i="2"/>
  <c r="DO28" i="2"/>
  <c r="DO29" i="2"/>
  <c r="DO30" i="2" s="1"/>
  <c r="DO31" i="2"/>
  <c r="DO25" i="2"/>
  <c r="DO26" i="2"/>
  <c r="DO5" i="2"/>
  <c r="DO10" i="2"/>
  <c r="DO8" i="2"/>
  <c r="DN31" i="2"/>
  <c r="DN29" i="2"/>
  <c r="DN30" i="2" s="1"/>
  <c r="DN28" i="2"/>
  <c r="DN26" i="2"/>
  <c r="DN25" i="2"/>
  <c r="DN21" i="2"/>
  <c r="DN19" i="2"/>
  <c r="DN16" i="2"/>
  <c r="DN5" i="2"/>
  <c r="DN10" i="2"/>
  <c r="DN8" i="2"/>
  <c r="DR21" i="2" l="1"/>
  <c r="DR29" i="2"/>
  <c r="DR26" i="2"/>
  <c r="DR10" i="2"/>
  <c r="DR25" i="2"/>
  <c r="DS27" i="2"/>
  <c r="DY16" i="2"/>
  <c r="DN27" i="2"/>
  <c r="DN32" i="2"/>
  <c r="DS32" i="2"/>
  <c r="DP27" i="2"/>
  <c r="DP32" i="2"/>
  <c r="DM26" i="4"/>
  <c r="EA26" i="4"/>
  <c r="DT26" i="4"/>
  <c r="EA25" i="4"/>
  <c r="DT25" i="4"/>
  <c r="EH25" i="4"/>
  <c r="EH26" i="4"/>
  <c r="EO26" i="4"/>
  <c r="EO25" i="4"/>
  <c r="DO27" i="2"/>
  <c r="DO32" i="2"/>
  <c r="DM31" i="2"/>
  <c r="DM29" i="2"/>
  <c r="DM30" i="2" s="1"/>
  <c r="DM28" i="2"/>
  <c r="DM26" i="2"/>
  <c r="DM25" i="2"/>
  <c r="DM21" i="2"/>
  <c r="DM19" i="2"/>
  <c r="DM16" i="2"/>
  <c r="DM5" i="2"/>
  <c r="DM10" i="2"/>
  <c r="DM8" i="2"/>
  <c r="DL21" i="2"/>
  <c r="DL19" i="2"/>
  <c r="DL16" i="2"/>
  <c r="DL8" i="2"/>
  <c r="DL31" i="2"/>
  <c r="DL29" i="2"/>
  <c r="DL30" i="2" s="1"/>
  <c r="DL28" i="2"/>
  <c r="DL26" i="2"/>
  <c r="DL25" i="2"/>
  <c r="DL10" i="2"/>
  <c r="DL5" i="2"/>
  <c r="DI28" i="2"/>
  <c r="DI25" i="2"/>
  <c r="DI26" i="2"/>
  <c r="DI29" i="2"/>
  <c r="DI30" i="2" s="1"/>
  <c r="DI16" i="2"/>
  <c r="DI31" i="2"/>
  <c r="DI19" i="2"/>
  <c r="DI21" i="2"/>
  <c r="DI10" i="2"/>
  <c r="DI8" i="2"/>
  <c r="DI5" i="2"/>
  <c r="DH28" i="2"/>
  <c r="DH25" i="2"/>
  <c r="DH26" i="2"/>
  <c r="DH29" i="2"/>
  <c r="DH30" i="2" s="1"/>
  <c r="DH31" i="2"/>
  <c r="DH16" i="2"/>
  <c r="DH19" i="2"/>
  <c r="DH21" i="2"/>
  <c r="DH8" i="2"/>
  <c r="DH10" i="2"/>
  <c r="DH5" i="2"/>
  <c r="DG19" i="2"/>
  <c r="DG21" i="2"/>
  <c r="DG16" i="2"/>
  <c r="DG25" i="2"/>
  <c r="DG26" i="2"/>
  <c r="DG28" i="2"/>
  <c r="DG29" i="2"/>
  <c r="DG30" i="2" s="1"/>
  <c r="DG31" i="2"/>
  <c r="DG10" i="2"/>
  <c r="DG8" i="2"/>
  <c r="DG5" i="2"/>
  <c r="DF31" i="2"/>
  <c r="DF28" i="2"/>
  <c r="DF29" i="2"/>
  <c r="DF30" i="2" s="1"/>
  <c r="DE5" i="2"/>
  <c r="DE18" i="3"/>
  <c r="CX18" i="3"/>
  <c r="CQ18" i="3"/>
  <c r="DL18" i="3"/>
  <c r="DF10" i="2"/>
  <c r="DF8" i="2"/>
  <c r="DF5" i="2"/>
  <c r="DF16" i="2"/>
  <c r="DE28" i="2"/>
  <c r="DF25" i="2"/>
  <c r="DF26" i="2"/>
  <c r="DF19" i="2"/>
  <c r="DE21" i="2"/>
  <c r="DF21" i="2"/>
  <c r="DE16" i="2"/>
  <c r="DE19" i="2"/>
  <c r="DE8" i="2"/>
  <c r="CY8" i="2"/>
  <c r="DE31" i="2"/>
  <c r="DE29" i="2"/>
  <c r="DE30" i="2" s="1"/>
  <c r="CY29" i="2"/>
  <c r="CY30" i="2" s="1"/>
  <c r="DE25" i="2"/>
  <c r="DE26" i="2"/>
  <c r="DE10" i="2"/>
  <c r="DC8" i="2"/>
  <c r="DC25" i="2"/>
  <c r="DC26" i="2"/>
  <c r="DD7" i="2"/>
  <c r="DD18" i="2"/>
  <c r="DD17" i="2"/>
  <c r="DD6" i="2"/>
  <c r="DD20" i="2"/>
  <c r="DD15" i="2"/>
  <c r="DD14" i="2"/>
  <c r="DD9" i="2"/>
  <c r="DD4" i="2"/>
  <c r="DD3" i="2"/>
  <c r="DC5" i="2"/>
  <c r="DB5" i="2"/>
  <c r="DB16" i="2"/>
  <c r="DB21" i="2"/>
  <c r="DB19" i="2"/>
  <c r="DB25" i="2"/>
  <c r="DB26" i="2"/>
  <c r="DB28" i="2"/>
  <c r="DB29" i="2"/>
  <c r="DB30" i="2" s="1"/>
  <c r="DB31" i="2"/>
  <c r="DB10" i="2"/>
  <c r="DB8" i="2"/>
  <c r="DA21" i="2"/>
  <c r="DA19" i="2"/>
  <c r="CZ5" i="2"/>
  <c r="DA5" i="2"/>
  <c r="DA16" i="2"/>
  <c r="DF23" i="4"/>
  <c r="DG23" i="4"/>
  <c r="DH23" i="4"/>
  <c r="DI23" i="4"/>
  <c r="DJ23" i="4"/>
  <c r="DK23" i="4"/>
  <c r="DL23" i="4"/>
  <c r="DF24" i="4"/>
  <c r="DG24" i="4"/>
  <c r="DH24" i="4"/>
  <c r="DI24" i="4"/>
  <c r="DJ24" i="4"/>
  <c r="DK24" i="4"/>
  <c r="DL24" i="4"/>
  <c r="DA25" i="2"/>
  <c r="DA26" i="2"/>
  <c r="DA28" i="2"/>
  <c r="DA29" i="2"/>
  <c r="DA30" i="2" s="1"/>
  <c r="DA31" i="2"/>
  <c r="DA10" i="2"/>
  <c r="DA8" i="2"/>
  <c r="CZ21" i="2"/>
  <c r="CZ19" i="2"/>
  <c r="CZ25" i="2"/>
  <c r="CZ26" i="2"/>
  <c r="CZ28" i="2"/>
  <c r="CZ29" i="2"/>
  <c r="CZ30" i="2" s="1"/>
  <c r="CZ31" i="2"/>
  <c r="CZ16" i="2"/>
  <c r="CZ10" i="2"/>
  <c r="CZ8" i="2"/>
  <c r="CY16" i="2"/>
  <c r="CY5" i="2"/>
  <c r="DR28" i="2" l="1"/>
  <c r="DK28" i="2"/>
  <c r="DI27" i="2"/>
  <c r="DR31" i="2"/>
  <c r="DR32" i="2" s="1"/>
  <c r="DR5" i="2"/>
  <c r="DH27" i="2"/>
  <c r="DE27" i="2"/>
  <c r="DR30" i="2"/>
  <c r="DM27" i="2"/>
  <c r="DR27" i="2" s="1"/>
  <c r="DR16" i="2"/>
  <c r="DD5" i="2"/>
  <c r="DD21" i="2"/>
  <c r="DR19" i="2"/>
  <c r="DK5" i="2"/>
  <c r="DL36" i="2"/>
  <c r="DK8" i="2"/>
  <c r="DK30" i="2"/>
  <c r="DF32" i="2"/>
  <c r="DM32" i="2"/>
  <c r="DD10" i="2"/>
  <c r="DK31" i="2"/>
  <c r="DK32" i="2" s="1"/>
  <c r="DD26" i="2"/>
  <c r="DD16" i="2"/>
  <c r="DB27" i="2"/>
  <c r="DG27" i="2"/>
  <c r="CZ27" i="2"/>
  <c r="DD25" i="2"/>
  <c r="DR8" i="2"/>
  <c r="DL37" i="2"/>
  <c r="DL27" i="2"/>
  <c r="DL32" i="2"/>
  <c r="DI32" i="2"/>
  <c r="DH32" i="2"/>
  <c r="DE36" i="2"/>
  <c r="DG32" i="2"/>
  <c r="DF27" i="2"/>
  <c r="DE37" i="2"/>
  <c r="DE32" i="2"/>
  <c r="DD29" i="2"/>
  <c r="DF26" i="4"/>
  <c r="DF25" i="4"/>
  <c r="DB32" i="2"/>
  <c r="DA32" i="2"/>
  <c r="DA27" i="2"/>
  <c r="CZ32" i="2"/>
  <c r="DD8" i="2"/>
  <c r="CY10" i="2"/>
  <c r="CY19" i="2"/>
  <c r="DD19" i="2" s="1"/>
  <c r="CY21" i="2"/>
  <c r="CY25" i="2"/>
  <c r="CX36" i="2" s="1"/>
  <c r="CY26" i="2"/>
  <c r="CX37" i="2" s="1"/>
  <c r="CY28" i="2"/>
  <c r="DD28" i="2" s="1"/>
  <c r="DD30" i="2"/>
  <c r="CY31" i="2"/>
  <c r="DD31" i="2" s="1"/>
  <c r="CX41" i="2"/>
  <c r="DE41" i="2"/>
  <c r="DL41" i="2"/>
  <c r="DS41" i="2"/>
  <c r="EP41" i="2"/>
  <c r="CW20" i="2"/>
  <c r="CW18" i="2"/>
  <c r="CW15" i="2"/>
  <c r="CW11" i="2"/>
  <c r="CW9" i="2"/>
  <c r="CW7" i="2"/>
  <c r="CW4" i="2"/>
  <c r="CW3" i="2"/>
  <c r="CU25" i="2"/>
  <c r="CU26" i="2"/>
  <c r="CU28" i="2"/>
  <c r="CU29" i="2"/>
  <c r="CU31" i="2"/>
  <c r="CU33" i="2"/>
  <c r="CU21" i="2"/>
  <c r="CU19" i="2"/>
  <c r="CU16" i="2"/>
  <c r="CU10" i="2"/>
  <c r="CU8" i="2"/>
  <c r="CU5" i="2"/>
  <c r="CT25" i="2"/>
  <c r="CT26" i="2"/>
  <c r="CT28" i="2"/>
  <c r="CT29" i="2"/>
  <c r="CT31" i="2"/>
  <c r="CT21" i="2"/>
  <c r="CT19" i="2"/>
  <c r="CT16" i="2"/>
  <c r="CT22" i="2"/>
  <c r="CT33" i="2" s="1"/>
  <c r="CT10" i="2"/>
  <c r="CT8" i="2"/>
  <c r="CT5" i="2"/>
  <c r="CS25" i="2"/>
  <c r="CS26" i="2"/>
  <c r="CS28" i="2"/>
  <c r="CS29" i="2"/>
  <c r="CS31" i="2"/>
  <c r="CS22" i="2"/>
  <c r="CS33" i="2" s="1"/>
  <c r="CR22" i="2"/>
  <c r="CR33" i="2" s="1"/>
  <c r="CS16" i="2"/>
  <c r="CS5" i="2"/>
  <c r="CS21" i="2"/>
  <c r="CS10" i="2"/>
  <c r="CS8" i="2"/>
  <c r="CS19" i="2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CR14" i="2"/>
  <c r="CR16" i="2" s="1"/>
  <c r="CQ14" i="2"/>
  <c r="CQ25" i="2" s="1"/>
  <c r="CR28" i="2"/>
  <c r="CQ28" i="2"/>
  <c r="CR5" i="2"/>
  <c r="CR29" i="2"/>
  <c r="CR30" i="2" s="1"/>
  <c r="CR31" i="2"/>
  <c r="CR8" i="2"/>
  <c r="CR10" i="2"/>
  <c r="CR19" i="2"/>
  <c r="CR26" i="2"/>
  <c r="CQ5" i="2"/>
  <c r="CQ19" i="2"/>
  <c r="CQ8" i="2"/>
  <c r="CQ41" i="2"/>
  <c r="CQ33" i="2"/>
  <c r="CQ31" i="2"/>
  <c r="CQ29" i="2"/>
  <c r="CQ30" i="2" s="1"/>
  <c r="CQ26" i="2"/>
  <c r="CQ10" i="2"/>
  <c r="CP11" i="2"/>
  <c r="CP4" i="2"/>
  <c r="CP3" i="2"/>
  <c r="CP7" i="2"/>
  <c r="CP9" i="2"/>
  <c r="CP15" i="2"/>
  <c r="CP14" i="2"/>
  <c r="CP18" i="2"/>
  <c r="CP20" i="2"/>
  <c r="CO31" i="2"/>
  <c r="CO10" i="2"/>
  <c r="CO8" i="2"/>
  <c r="CN5" i="2"/>
  <c r="CO5" i="2"/>
  <c r="CO27" i="2" s="1"/>
  <c r="CN31" i="2"/>
  <c r="CN33" i="2"/>
  <c r="CN21" i="2"/>
  <c r="CN19" i="2"/>
  <c r="CN16" i="2"/>
  <c r="CN10" i="2"/>
  <c r="CN8" i="2"/>
  <c r="CM31" i="2"/>
  <c r="CM22" i="2"/>
  <c r="CM33" i="2" s="1"/>
  <c r="CM21" i="2"/>
  <c r="CM16" i="2"/>
  <c r="CM19" i="2"/>
  <c r="CM10" i="2"/>
  <c r="CM8" i="2"/>
  <c r="CM5" i="2"/>
  <c r="CJ18" i="3"/>
  <c r="CC18" i="3"/>
  <c r="CL31" i="2"/>
  <c r="CJ33" i="2"/>
  <c r="CL10" i="2"/>
  <c r="CL5" i="2"/>
  <c r="CL8" i="2"/>
  <c r="CL22" i="2"/>
  <c r="CL33" i="2" s="1"/>
  <c r="CL16" i="2"/>
  <c r="CL21" i="2"/>
  <c r="CL19" i="2"/>
  <c r="CK16" i="2"/>
  <c r="CK5" i="2"/>
  <c r="CK8" i="2"/>
  <c r="CJ8" i="2"/>
  <c r="CK22" i="2"/>
  <c r="CK31" i="2"/>
  <c r="CK21" i="2"/>
  <c r="CK19" i="2"/>
  <c r="CK10" i="2"/>
  <c r="CJ41" i="2"/>
  <c r="CJ19" i="2"/>
  <c r="CJ16" i="2"/>
  <c r="CJ5" i="2"/>
  <c r="CJ31" i="2"/>
  <c r="CJ10" i="2"/>
  <c r="CD5" i="2"/>
  <c r="CD8" i="2"/>
  <c r="CD10" i="2"/>
  <c r="CJ21" i="2"/>
  <c r="CI46" i="2"/>
  <c r="CK26" i="4" l="1"/>
  <c r="CK25" i="4"/>
  <c r="DD32" i="2"/>
  <c r="CT30" i="2"/>
  <c r="CR27" i="2"/>
  <c r="CT27" i="2"/>
  <c r="CS27" i="2"/>
  <c r="CW29" i="2"/>
  <c r="CS32" i="2"/>
  <c r="CQ21" i="2"/>
  <c r="CT32" i="2"/>
  <c r="DK27" i="2"/>
  <c r="CW8" i="2"/>
  <c r="CW5" i="2"/>
  <c r="CQ16" i="2"/>
  <c r="CW16" i="2" s="1"/>
  <c r="CW19" i="2"/>
  <c r="CP22" i="2"/>
  <c r="CS30" i="2"/>
  <c r="CU27" i="2"/>
  <c r="CU30" i="2"/>
  <c r="CW22" i="2"/>
  <c r="CW14" i="2"/>
  <c r="CW25" i="2" s="1"/>
  <c r="CW21" i="2"/>
  <c r="CW31" i="2"/>
  <c r="CW10" i="2"/>
  <c r="CM27" i="2"/>
  <c r="CP5" i="2"/>
  <c r="CP8" i="2"/>
  <c r="CY25" i="4"/>
  <c r="CY32" i="2"/>
  <c r="CY26" i="4"/>
  <c r="CY27" i="2"/>
  <c r="DD27" i="2" s="1"/>
  <c r="CU32" i="2"/>
  <c r="CW26" i="2"/>
  <c r="CR26" i="4"/>
  <c r="CR25" i="4"/>
  <c r="CR25" i="2"/>
  <c r="CR32" i="2" s="1"/>
  <c r="CR21" i="2"/>
  <c r="CQ37" i="2"/>
  <c r="CP19" i="2"/>
  <c r="CL27" i="2"/>
  <c r="CK33" i="2"/>
  <c r="CP29" i="2"/>
  <c r="CP16" i="2"/>
  <c r="CP31" i="2"/>
  <c r="CJ27" i="2"/>
  <c r="CN27" i="2"/>
  <c r="CK27" i="2"/>
  <c r="CQ32" i="2"/>
  <c r="CP10" i="2"/>
  <c r="CP21" i="2"/>
  <c r="CH19" i="2"/>
  <c r="CH21" i="2"/>
  <c r="CI20" i="2"/>
  <c r="CI18" i="2"/>
  <c r="CI15" i="2"/>
  <c r="CI14" i="2"/>
  <c r="CI9" i="2"/>
  <c r="CI7" i="2"/>
  <c r="CI4" i="2"/>
  <c r="CI3" i="2"/>
  <c r="CH31" i="2"/>
  <c r="CG31" i="2"/>
  <c r="CH16" i="2"/>
  <c r="CG16" i="2"/>
  <c r="CH8" i="2"/>
  <c r="CH10" i="2"/>
  <c r="CG5" i="2"/>
  <c r="CH5" i="2"/>
  <c r="CW32" i="2" l="1"/>
  <c r="CQ27" i="2"/>
  <c r="CW27" i="2" s="1"/>
  <c r="CP27" i="2"/>
  <c r="CW30" i="2"/>
  <c r="CQ36" i="2"/>
  <c r="CH27" i="2"/>
  <c r="CG27" i="2"/>
  <c r="CI25" i="2"/>
  <c r="CI26" i="2"/>
  <c r="CI29" i="2"/>
  <c r="CI10" i="2"/>
  <c r="CI21" i="2"/>
  <c r="CG21" i="2"/>
  <c r="CG22" i="2"/>
  <c r="CG19" i="2"/>
  <c r="CG10" i="2"/>
  <c r="CG11" i="2"/>
  <c r="CG8" i="2"/>
  <c r="CF19" i="2"/>
  <c r="CF16" i="2"/>
  <c r="CF5" i="2"/>
  <c r="CF11" i="2"/>
  <c r="CF22" i="2"/>
  <c r="CE22" i="2"/>
  <c r="CF31" i="2"/>
  <c r="CF21" i="2"/>
  <c r="CF10" i="2"/>
  <c r="CF8" i="2"/>
  <c r="CD22" i="2"/>
  <c r="CD33" i="2" s="1"/>
  <c r="CE11" i="2"/>
  <c r="CC41" i="2"/>
  <c r="CE31" i="2"/>
  <c r="CE16" i="2"/>
  <c r="CC5" i="2"/>
  <c r="CE5" i="2"/>
  <c r="CE21" i="2"/>
  <c r="CE19" i="2"/>
  <c r="CE10" i="2"/>
  <c r="CE8" i="2"/>
  <c r="CD16" i="2"/>
  <c r="CD31" i="2"/>
  <c r="CD21" i="2"/>
  <c r="CD19" i="2"/>
  <c r="BW33" i="2"/>
  <c r="BX33" i="2"/>
  <c r="BY33" i="2"/>
  <c r="BZ33" i="2"/>
  <c r="CA33" i="2"/>
  <c r="CC31" i="2"/>
  <c r="CC8" i="2"/>
  <c r="CC19" i="2"/>
  <c r="CC16" i="2"/>
  <c r="CC21" i="2"/>
  <c r="CC10" i="2"/>
  <c r="CB18" i="2"/>
  <c r="CB7" i="2"/>
  <c r="CB20" i="2"/>
  <c r="CB15" i="2"/>
  <c r="CB14" i="2"/>
  <c r="CB9" i="2"/>
  <c r="CB4" i="2"/>
  <c r="CB3" i="2"/>
  <c r="CA31" i="2"/>
  <c r="CA10" i="2"/>
  <c r="CA8" i="2"/>
  <c r="CA5" i="2"/>
  <c r="CA27" i="2" s="1"/>
  <c r="BZ21" i="2"/>
  <c r="BZ16" i="2"/>
  <c r="BZ31" i="2"/>
  <c r="BZ19" i="2"/>
  <c r="BZ10" i="2"/>
  <c r="BZ8" i="2"/>
  <c r="BZ5" i="2"/>
  <c r="BY31" i="2"/>
  <c r="BY21" i="2"/>
  <c r="BY19" i="2"/>
  <c r="BY16" i="2"/>
  <c r="BY10" i="2"/>
  <c r="BY5" i="2"/>
  <c r="BV41" i="2"/>
  <c r="BY8" i="2"/>
  <c r="BX5" i="2"/>
  <c r="BW5" i="2"/>
  <c r="BV5" i="2"/>
  <c r="BX8" i="2"/>
  <c r="BW8" i="2"/>
  <c r="BV8" i="2"/>
  <c r="BV16" i="2"/>
  <c r="BW16" i="2"/>
  <c r="BX16" i="2"/>
  <c r="BV19" i="2"/>
  <c r="BW19" i="2"/>
  <c r="BX19" i="2"/>
  <c r="BX29" i="2"/>
  <c r="BX30" i="2" s="1"/>
  <c r="BX31" i="2"/>
  <c r="BX21" i="2"/>
  <c r="BX10" i="2"/>
  <c r="BW16" i="3"/>
  <c r="BV16" i="3"/>
  <c r="BV18" i="3" s="1"/>
  <c r="BW31" i="2"/>
  <c r="BW21" i="2"/>
  <c r="BW10" i="2"/>
  <c r="CF33" i="2" l="1"/>
  <c r="CE33" i="2"/>
  <c r="CI16" i="2"/>
  <c r="CI19" i="2"/>
  <c r="CE27" i="2"/>
  <c r="CI8" i="2"/>
  <c r="CI31" i="2"/>
  <c r="CI32" i="2" s="1"/>
  <c r="CG33" i="2"/>
  <c r="CF27" i="2"/>
  <c r="CI5" i="2"/>
  <c r="CI22" i="2"/>
  <c r="CB25" i="2"/>
  <c r="CB5" i="2"/>
  <c r="CB10" i="2"/>
  <c r="CD27" i="2"/>
  <c r="CB33" i="2"/>
  <c r="CB26" i="2"/>
  <c r="CB8" i="2"/>
  <c r="CB19" i="2"/>
  <c r="BZ27" i="2"/>
  <c r="BW27" i="2"/>
  <c r="CC27" i="2"/>
  <c r="CB16" i="2"/>
  <c r="BY27" i="2"/>
  <c r="CB21" i="2"/>
  <c r="CB29" i="2"/>
  <c r="BX27" i="2"/>
  <c r="BV31" i="2"/>
  <c r="CB31" i="2" s="1"/>
  <c r="BS16" i="2"/>
  <c r="BR16" i="2"/>
  <c r="BQ16" i="2"/>
  <c r="BP16" i="2"/>
  <c r="BO16" i="2"/>
  <c r="BS5" i="2"/>
  <c r="BR5" i="2"/>
  <c r="BQ5" i="2"/>
  <c r="BP5" i="2"/>
  <c r="BO5" i="2"/>
  <c r="BP31" i="2"/>
  <c r="BQ31" i="2"/>
  <c r="BR31" i="2"/>
  <c r="BS31" i="2"/>
  <c r="BT31" i="2"/>
  <c r="BO31" i="2"/>
  <c r="BT30" i="2"/>
  <c r="BV21" i="2"/>
  <c r="BV27" i="2"/>
  <c r="BV10" i="2"/>
  <c r="BU15" i="2"/>
  <c r="BU14" i="2"/>
  <c r="BU20" i="2"/>
  <c r="BU18" i="2"/>
  <c r="BS21" i="2"/>
  <c r="BP21" i="2"/>
  <c r="BQ21" i="2"/>
  <c r="BR21" i="2"/>
  <c r="BO21" i="2"/>
  <c r="BT10" i="2"/>
  <c r="BP19" i="2"/>
  <c r="BQ19" i="2"/>
  <c r="BR19" i="2"/>
  <c r="BS19" i="2"/>
  <c r="BT5" i="2"/>
  <c r="BT27" i="2" s="1"/>
  <c r="BT8" i="2"/>
  <c r="BS8" i="2"/>
  <c r="BR8" i="2"/>
  <c r="BQ8" i="2"/>
  <c r="BP8" i="2"/>
  <c r="BO8" i="2"/>
  <c r="BO19" i="2"/>
  <c r="BP10" i="2"/>
  <c r="BQ10" i="2"/>
  <c r="BR10" i="2"/>
  <c r="BS10" i="2"/>
  <c r="BU9" i="2"/>
  <c r="BU7" i="2"/>
  <c r="BU29" i="2" s="1"/>
  <c r="BU4" i="2"/>
  <c r="BU3" i="2"/>
  <c r="BO10" i="2"/>
  <c r="BJ8" i="2"/>
  <c r="AT41" i="2"/>
  <c r="AO38" i="2"/>
  <c r="AM41" i="2" s="1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AN16" i="3"/>
  <c r="AK29" i="2"/>
  <c r="AL29" i="2"/>
  <c r="AM29" i="2"/>
  <c r="AN29" i="2"/>
  <c r="AO29" i="2"/>
  <c r="AP29" i="2"/>
  <c r="AQ29" i="2"/>
  <c r="AR29" i="2"/>
  <c r="AS29" i="2"/>
  <c r="AK26" i="2"/>
  <c r="AK25" i="2"/>
  <c r="AO26" i="2"/>
  <c r="AP26" i="2"/>
  <c r="AQ26" i="2"/>
  <c r="AR26" i="2"/>
  <c r="AS26" i="2"/>
  <c r="AO25" i="2"/>
  <c r="AP25" i="2"/>
  <c r="AQ25" i="2"/>
  <c r="AR25" i="2"/>
  <c r="AS25" i="2"/>
  <c r="AI29" i="2"/>
  <c r="AJ29" i="2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Z23" i="4"/>
  <c r="AA23" i="4"/>
  <c r="AB23" i="4"/>
  <c r="AC23" i="4"/>
  <c r="AD23" i="4"/>
  <c r="AE23" i="4"/>
  <c r="AF23" i="4"/>
  <c r="Z24" i="4"/>
  <c r="AA24" i="4"/>
  <c r="AB24" i="4"/>
  <c r="AC24" i="4"/>
  <c r="AD24" i="4"/>
  <c r="AE24" i="4"/>
  <c r="AF24" i="4"/>
  <c r="AF16" i="3"/>
  <c r="AG16" i="3"/>
  <c r="AH16" i="3"/>
  <c r="AI16" i="3"/>
  <c r="AJ16" i="3"/>
  <c r="AK16" i="3"/>
  <c r="AL16" i="3"/>
  <c r="AM16" i="3"/>
  <c r="Y16" i="3"/>
  <c r="Z16" i="3"/>
  <c r="AA16" i="3"/>
  <c r="AB16" i="3"/>
  <c r="AC16" i="3"/>
  <c r="AD16" i="3"/>
  <c r="AE16" i="3"/>
  <c r="S23" i="4"/>
  <c r="T23" i="4"/>
  <c r="U23" i="4"/>
  <c r="V23" i="4"/>
  <c r="W23" i="4"/>
  <c r="X23" i="4"/>
  <c r="Y23" i="4"/>
  <c r="S24" i="4"/>
  <c r="T24" i="4"/>
  <c r="U24" i="4"/>
  <c r="V24" i="4"/>
  <c r="W24" i="4"/>
  <c r="X24" i="4"/>
  <c r="Y24" i="4"/>
  <c r="R16" i="3"/>
  <c r="S16" i="3"/>
  <c r="T16" i="3"/>
  <c r="U16" i="3"/>
  <c r="V16" i="3"/>
  <c r="W16" i="3"/>
  <c r="X16" i="3"/>
  <c r="R24" i="4"/>
  <c r="Q24" i="4"/>
  <c r="P24" i="4"/>
  <c r="O24" i="4"/>
  <c r="N24" i="4"/>
  <c r="M24" i="4"/>
  <c r="L24" i="4"/>
  <c r="R23" i="4"/>
  <c r="Q23" i="4"/>
  <c r="P23" i="4"/>
  <c r="O23" i="4"/>
  <c r="N23" i="4"/>
  <c r="M23" i="4"/>
  <c r="L23" i="4"/>
  <c r="Q16" i="3"/>
  <c r="P16" i="3"/>
  <c r="O16" i="3"/>
  <c r="N16" i="3"/>
  <c r="M16" i="3"/>
  <c r="L16" i="3"/>
  <c r="K16" i="3"/>
  <c r="K29" i="2"/>
  <c r="L29" i="2"/>
  <c r="M29" i="2"/>
  <c r="N29" i="2"/>
  <c r="O29" i="2"/>
  <c r="P29" i="2"/>
  <c r="Q29" i="2"/>
  <c r="AF41" i="2"/>
  <c r="BA41" i="2"/>
  <c r="BH41" i="2"/>
  <c r="BO41" i="2"/>
  <c r="D16" i="3"/>
  <c r="E16" i="3"/>
  <c r="F16" i="3"/>
  <c r="G16" i="3"/>
  <c r="H16" i="3"/>
  <c r="I16" i="3"/>
  <c r="J16" i="3"/>
  <c r="BO25" i="2"/>
  <c r="BP25" i="2"/>
  <c r="BQ25" i="2"/>
  <c r="BR25" i="2"/>
  <c r="BS25" i="2"/>
  <c r="BT25" i="2"/>
  <c r="BV25" i="2"/>
  <c r="BW25" i="2"/>
  <c r="BW32" i="2" s="1"/>
  <c r="BX25" i="2"/>
  <c r="BX32" i="2" s="1"/>
  <c r="BY25" i="2"/>
  <c r="BY32" i="2" s="1"/>
  <c r="BZ25" i="2"/>
  <c r="BZ32" i="2" s="1"/>
  <c r="CA25" i="2"/>
  <c r="CA32" i="2" s="1"/>
  <c r="CC25" i="2"/>
  <c r="CC32" i="2" s="1"/>
  <c r="CD25" i="2"/>
  <c r="CE25" i="2"/>
  <c r="CE32" i="2" s="1"/>
  <c r="CF25" i="2"/>
  <c r="CF32" i="2" s="1"/>
  <c r="CG25" i="2"/>
  <c r="CG32" i="2" s="1"/>
  <c r="CH25" i="2"/>
  <c r="CH32" i="2" s="1"/>
  <c r="CJ25" i="2"/>
  <c r="CK25" i="2"/>
  <c r="CK32" i="2" s="1"/>
  <c r="CL25" i="2"/>
  <c r="CL32" i="2" s="1"/>
  <c r="CM25" i="2"/>
  <c r="CM32" i="2" s="1"/>
  <c r="CN25" i="2"/>
  <c r="CN32" i="2" s="1"/>
  <c r="CO25" i="2"/>
  <c r="CO32" i="2" s="1"/>
  <c r="CP25" i="2"/>
  <c r="BO26" i="2"/>
  <c r="BP26" i="2"/>
  <c r="BQ26" i="2"/>
  <c r="BR26" i="2"/>
  <c r="BS26" i="2"/>
  <c r="BT26" i="2"/>
  <c r="BV26" i="2"/>
  <c r="BW26" i="2"/>
  <c r="BX26" i="2"/>
  <c r="BY26" i="2"/>
  <c r="BZ26" i="2"/>
  <c r="CA26" i="2"/>
  <c r="CC26" i="2"/>
  <c r="CD26" i="2"/>
  <c r="CE26" i="2"/>
  <c r="CF26" i="2"/>
  <c r="CG26" i="2"/>
  <c r="CH26" i="2"/>
  <c r="CJ26" i="2"/>
  <c r="CK26" i="2"/>
  <c r="CL26" i="2"/>
  <c r="CM26" i="2"/>
  <c r="CN26" i="2"/>
  <c r="CO26" i="2"/>
  <c r="CP26" i="2"/>
  <c r="CP32" i="2" s="1"/>
  <c r="BO29" i="2"/>
  <c r="BO30" i="2" s="1"/>
  <c r="BP29" i="2"/>
  <c r="BP30" i="2" s="1"/>
  <c r="BQ29" i="2"/>
  <c r="BQ30" i="2" s="1"/>
  <c r="BR29" i="2"/>
  <c r="BR30" i="2" s="1"/>
  <c r="BS29" i="2"/>
  <c r="BS30" i="2" s="1"/>
  <c r="BV29" i="2"/>
  <c r="BV30" i="2" s="1"/>
  <c r="BW29" i="2"/>
  <c r="BW30" i="2" s="1"/>
  <c r="BY29" i="2"/>
  <c r="BY30" i="2" s="1"/>
  <c r="BZ29" i="2"/>
  <c r="BZ30" i="2" s="1"/>
  <c r="CA29" i="2"/>
  <c r="CA30" i="2" s="1"/>
  <c r="CC29" i="2"/>
  <c r="CC30" i="2" s="1"/>
  <c r="CD29" i="2"/>
  <c r="CD30" i="2" s="1"/>
  <c r="CE29" i="2"/>
  <c r="CE30" i="2" s="1"/>
  <c r="CF29" i="2"/>
  <c r="CF30" i="2" s="1"/>
  <c r="CG29" i="2"/>
  <c r="CG30" i="2" s="1"/>
  <c r="CH29" i="2"/>
  <c r="CH30" i="2" s="1"/>
  <c r="CJ29" i="2"/>
  <c r="CJ30" i="2" s="1"/>
  <c r="CK29" i="2"/>
  <c r="CK30" i="2" s="1"/>
  <c r="CL29" i="2"/>
  <c r="CL30" i="2" s="1"/>
  <c r="CM29" i="2"/>
  <c r="CM30" i="2" s="1"/>
  <c r="CN29" i="2"/>
  <c r="CN30" i="2" s="1"/>
  <c r="CO29" i="2"/>
  <c r="CO30" i="2" s="1"/>
  <c r="BI26" i="2"/>
  <c r="BJ26" i="2"/>
  <c r="BK26" i="2"/>
  <c r="BL26" i="2"/>
  <c r="BM26" i="2"/>
  <c r="BN26" i="2"/>
  <c r="BI25" i="2"/>
  <c r="BJ25" i="2"/>
  <c r="BK25" i="2"/>
  <c r="BL25" i="2"/>
  <c r="BM25" i="2"/>
  <c r="BN25" i="2"/>
  <c r="BH29" i="2"/>
  <c r="BH26" i="2"/>
  <c r="BH25" i="2"/>
  <c r="BF29" i="2"/>
  <c r="BG29" i="2"/>
  <c r="BI29" i="2"/>
  <c r="BJ29" i="2"/>
  <c r="BK29" i="2"/>
  <c r="BL29" i="2"/>
  <c r="BM29" i="2"/>
  <c r="BN29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AU29" i="2"/>
  <c r="AV29" i="2"/>
  <c r="AW29" i="2"/>
  <c r="AX29" i="2"/>
  <c r="AZ29" i="2"/>
  <c r="BA29" i="2"/>
  <c r="BB29" i="2"/>
  <c r="BC29" i="2"/>
  <c r="BD29" i="2"/>
  <c r="BE29" i="2"/>
  <c r="AT29" i="2"/>
  <c r="AT26" i="2"/>
  <c r="AT25" i="2"/>
  <c r="AN26" i="2"/>
  <c r="AN25" i="2"/>
  <c r="AL26" i="2"/>
  <c r="AM26" i="2"/>
  <c r="AL25" i="2"/>
  <c r="AM25" i="2"/>
  <c r="AH25" i="2"/>
  <c r="AI25" i="2"/>
  <c r="AJ25" i="2"/>
  <c r="AG29" i="2"/>
  <c r="AH29" i="2"/>
  <c r="AG26" i="2"/>
  <c r="AH26" i="2"/>
  <c r="AI26" i="2"/>
  <c r="AJ26" i="2"/>
  <c r="AG25" i="2"/>
  <c r="AF29" i="2"/>
  <c r="AD26" i="2"/>
  <c r="AE26" i="2"/>
  <c r="AF26" i="2"/>
  <c r="AD25" i="2"/>
  <c r="AE25" i="2"/>
  <c r="AF25" i="2"/>
  <c r="AB26" i="2"/>
  <c r="AC26" i="2"/>
  <c r="AB25" i="2"/>
  <c r="AC25" i="2"/>
  <c r="AA26" i="2"/>
  <c r="AA25" i="2"/>
  <c r="Z26" i="2"/>
  <c r="Z25" i="2"/>
  <c r="L25" i="4" l="1"/>
  <c r="CD26" i="4"/>
  <c r="CD25" i="4"/>
  <c r="S25" i="4"/>
  <c r="BW26" i="4"/>
  <c r="CB27" i="2"/>
  <c r="CP30" i="2"/>
  <c r="CJ37" i="2"/>
  <c r="CJ32" i="2"/>
  <c r="CJ36" i="2"/>
  <c r="BQ27" i="2"/>
  <c r="CC37" i="2"/>
  <c r="CI30" i="2"/>
  <c r="BT32" i="2"/>
  <c r="CI27" i="2"/>
  <c r="CD32" i="2"/>
  <c r="CC36" i="2"/>
  <c r="CF44" i="2" s="1"/>
  <c r="BS27" i="2"/>
  <c r="CB32" i="2"/>
  <c r="BU26" i="2"/>
  <c r="BQ32" i="2"/>
  <c r="BR27" i="2"/>
  <c r="BS32" i="2"/>
  <c r="BR32" i="2"/>
  <c r="CB30" i="2"/>
  <c r="BV37" i="2"/>
  <c r="BU25" i="2"/>
  <c r="BP32" i="2"/>
  <c r="BU19" i="2"/>
  <c r="BO27" i="2"/>
  <c r="BV36" i="2"/>
  <c r="BP27" i="2"/>
  <c r="BO37" i="2"/>
  <c r="BU21" i="2"/>
  <c r="BO36" i="2"/>
  <c r="BU30" i="2"/>
  <c r="BU31" i="2"/>
  <c r="BO32" i="2"/>
  <c r="BW25" i="4"/>
  <c r="BV32" i="2"/>
  <c r="BU16" i="2"/>
  <c r="BU5" i="2"/>
  <c r="BU10" i="2"/>
  <c r="BU8" i="2"/>
  <c r="BP25" i="4"/>
  <c r="BP26" i="4"/>
  <c r="BI25" i="4"/>
  <c r="BI26" i="4"/>
  <c r="BB25" i="4"/>
  <c r="BB26" i="4"/>
  <c r="AU25" i="4"/>
  <c r="AU26" i="4"/>
  <c r="BA18" i="3"/>
  <c r="AT18" i="3"/>
  <c r="BH18" i="3"/>
  <c r="BO18" i="3"/>
  <c r="AT36" i="2"/>
  <c r="AN25" i="4"/>
  <c r="AN26" i="4"/>
  <c r="AM18" i="3"/>
  <c r="AM37" i="2"/>
  <c r="AM36" i="2"/>
  <c r="AG25" i="4"/>
  <c r="AF36" i="2"/>
  <c r="AG26" i="4"/>
  <c r="AF18" i="3"/>
  <c r="Y18" i="3"/>
  <c r="Z26" i="4"/>
  <c r="Z25" i="4"/>
  <c r="S26" i="4"/>
  <c r="R18" i="3"/>
  <c r="L26" i="4"/>
  <c r="K18" i="3"/>
  <c r="AF37" i="2"/>
  <c r="AT37" i="2"/>
  <c r="BA36" i="2"/>
  <c r="BH36" i="2"/>
  <c r="BA37" i="2"/>
  <c r="BH37" i="2"/>
  <c r="Y41" i="2"/>
  <c r="Y26" i="2"/>
  <c r="Y37" i="2" s="1"/>
  <c r="Y25" i="2"/>
  <c r="Y36" i="2" s="1"/>
  <c r="Y29" i="2"/>
  <c r="Z29" i="2"/>
  <c r="AA29" i="2"/>
  <c r="AC29" i="2"/>
  <c r="AD29" i="2"/>
  <c r="AE29" i="2"/>
  <c r="S29" i="2"/>
  <c r="T29" i="2"/>
  <c r="U29" i="2"/>
  <c r="V29" i="2"/>
  <c r="W29" i="2"/>
  <c r="X29" i="2"/>
  <c r="R29" i="2"/>
  <c r="E38" i="2"/>
  <c r="F38" i="2"/>
  <c r="G38" i="2"/>
  <c r="H38" i="2"/>
  <c r="I38" i="2"/>
  <c r="J38" i="2"/>
  <c r="K38" i="2"/>
  <c r="P38" i="2"/>
  <c r="R41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E23" i="4"/>
  <c r="F23" i="4"/>
  <c r="G23" i="4"/>
  <c r="H23" i="4"/>
  <c r="I23" i="4"/>
  <c r="J23" i="4"/>
  <c r="K23" i="4"/>
  <c r="E24" i="4"/>
  <c r="F24" i="4"/>
  <c r="G24" i="4"/>
  <c r="H24" i="4"/>
  <c r="I24" i="4"/>
  <c r="J24" i="4"/>
  <c r="K24" i="4"/>
  <c r="D25" i="2"/>
  <c r="D26" i="2"/>
  <c r="D29" i="2"/>
  <c r="E29" i="2"/>
  <c r="F29" i="2"/>
  <c r="G29" i="2"/>
  <c r="H29" i="2"/>
  <c r="I29" i="2"/>
  <c r="J29" i="2"/>
  <c r="D38" i="2"/>
  <c r="BU32" i="2" l="1"/>
  <c r="BU27" i="2"/>
  <c r="K41" i="2"/>
  <c r="K36" i="2"/>
  <c r="R37" i="2"/>
  <c r="R36" i="2"/>
  <c r="K37" i="2"/>
  <c r="D18" i="3"/>
  <c r="E26" i="4"/>
  <c r="E25" i="4"/>
  <c r="D37" i="2"/>
  <c r="D36" i="2"/>
  <c r="D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CO3" authorId="0" shapeId="0" xr:uid="{925D895F-6D63-4EA5-8BDA-6B31B81BB33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+ 65 sedili singolo per Kippenheim</t>
        </r>
      </text>
    </comment>
    <comment ref="CZ3" authorId="0" shapeId="0" xr:uid="{3F804D8A-FD98-49BC-A6DE-ED6E7A34CF1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compresi 11 sedili singoli prodotti in area abarth</t>
        </r>
      </text>
    </comment>
    <comment ref="DC3" authorId="0" shapeId="0" xr:uid="{7D5F0485-B616-4675-9E65-D03A4B5F997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Recuperati 9 sedili scorrimento guide Valencia
recuperati 13 sedili in linea per abbianmento sedili fronte mensa e fronte uffici</t>
        </r>
      </text>
    </comment>
    <comment ref="DG3" authorId="0" shapeId="0" xr:uid="{71F26C0F-F929-4CB2-BB6E-1B08A3D9F0D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1h assemblea sindacale</t>
        </r>
      </text>
    </comment>
    <comment ref="EC3" authorId="0" shapeId="0" xr:uid="{F610D431-9718-4187-A9DB-5CD8355028C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bilancelle</t>
        </r>
      </text>
    </comment>
    <comment ref="EJ3" authorId="0" shapeId="0" xr:uid="{F81A7003-0931-4218-A98D-DDB11997693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bilancelle
</t>
        </r>
      </text>
    </comment>
    <comment ref="EY3" authorId="0" shapeId="0" xr:uid="{E54DA13C-3AF9-4987-B98A-015FB3AF544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DIFFUSIONI
</t>
        </r>
      </text>
    </comment>
    <comment ref="FA3" authorId="0" shapeId="0" xr:uid="{6020EBCA-EF94-49A1-9DB1-ECB86CE5D0F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TURNO ANNULLATO IN STL</t>
        </r>
      </text>
    </comment>
    <comment ref="FH3" authorId="0" shapeId="0" xr:uid="{2F3D2CC0-16AA-493A-9544-110A3A5720A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rulliera bilancelle bloccata
rete posteriore bloccata</t>
        </r>
      </text>
    </comment>
    <comment ref="FQ3" authorId="0" shapeId="0" xr:uid="{1074E089-38C6-4B19-820E-37A93A6A43B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1ora assemblea sindacale interna</t>
        </r>
      </text>
    </comment>
    <comment ref="HE3" authorId="0" shapeId="0" xr:uid="{FFC654E4-06AB-4F44-92A2-005C1F6BA149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5sedili per prova scoppio
inseriti 136 dummy </t>
        </r>
      </text>
    </comment>
    <comment ref="HF3" authorId="0" shapeId="0" xr:uid="{31429E15-6EE6-4FDD-9712-D580884687E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INFO, BILANCELLE E TAKT 150
</t>
        </r>
      </text>
    </comment>
    <comment ref="EE6" authorId="0" shapeId="0" xr:uid="{523DA326-10BB-45AB-A145-CCB53D5DA73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pulizie e riordino
</t>
        </r>
      </text>
    </comment>
    <comment ref="CC9" authorId="0" shapeId="0" xr:uid="{06C6E669-9CFD-417B-A935-5995C87482A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Fragilizzata
Scarpette
16 kit sistema</t>
        </r>
      </text>
    </comment>
    <comment ref="CD9" authorId="0" shapeId="0" xr:uid="{BC126F5F-922D-48F5-A9C8-6FD4839F5A0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3 fragilizzata
cam robot apt
</t>
        </r>
      </text>
    </comment>
    <comment ref="CF9" authorId="0" shapeId="0" xr:uid="{3AB15A77-D734-4B0D-B97F-978DA76A43A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7 fragilizzata
tiranti mancanti
kitting boxes sbaglaiti</t>
        </r>
      </text>
    </comment>
    <comment ref="CR9" authorId="0" shapeId="0" xr:uid="{F5EADF85-6AFC-4163-84C0-F82A9000D8E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5fragilizzate
scarpette
dimenticanze </t>
        </r>
      </text>
    </comment>
    <comment ref="CT9" authorId="0" shapeId="0" xr:uid="{7EC74B09-3F73-4F4E-8DD1-81229BE9492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rumorosità cavo bowden
</t>
        </r>
      </text>
    </comment>
    <comment ref="CZ9" authorId="0" shapeId="0" xr:uid="{76B79188-C8F5-48DC-96FC-4FC4C29B6CC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12 Grinze e cadenini ondulati
mostrine rigate</t>
        </r>
      </text>
    </comment>
    <comment ref="DA9" authorId="0" shapeId="0" xr:uid="{22654F3E-847C-4E28-B13D-2377966DACE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 e cadenini ondulati
cerniere rotte 
bowden cuscino agganciato male
</t>
        </r>
      </text>
    </comment>
    <comment ref="DF9" authorId="0" shapeId="0" xr:uid="{898A335E-E1A1-465B-8660-47AC7A5C5BB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fodere schienali e cuscino scucite</t>
        </r>
      </text>
    </comment>
    <comment ref="DG9" authorId="0" shapeId="0" xr:uid="{D309E7B0-29D1-4B1A-85BB-F0BD102A489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ELTEX CUSCINO SCUCITO
KIT PELLE DA STIRARE</t>
        </r>
      </text>
    </comment>
    <comment ref="DH9" authorId="0" shapeId="0" xr:uid="{FD63DC64-AA2B-4793-8742-88D54C26B10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KIT PELLE 
SCARPETTE
TEST ELETTRICI
</t>
        </r>
      </text>
    </comment>
    <comment ref="DL9" authorId="0" shapeId="0" xr:uid="{7EB0E13E-738A-4C26-B3BC-C9AD3100BBC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
SCARPETTE
1 CASO CERNIERA
</t>
        </r>
      </text>
    </comment>
    <comment ref="DM9" authorId="0" shapeId="0" xr:uid="{4F782587-561B-4923-B051-C6003D52540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CABLE LAYOUT (etichetta cablaggio)
CABLE LAYOUT socket</t>
        </r>
      </text>
    </comment>
    <comment ref="DN9" authorId="0" shapeId="0" xr:uid="{98D81080-3BDB-442C-BE97-73CBD14A840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materiale mancante o montaggio errato</t>
        </r>
      </text>
    </comment>
    <comment ref="DO9" authorId="0" shapeId="0" xr:uid="{3BB20D7F-AEFA-4E22-90CD-B9C98802D25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</t>
        </r>
      </text>
    </comment>
    <comment ref="DS9" authorId="0" shapeId="0" xr:uid="{533F221C-BC53-4CE6-A867-1FA999A79AF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robot avv da eseguire
fodere scucite/tagliate</t>
        </r>
      </text>
    </comment>
    <comment ref="DT9" authorId="0" shapeId="0" xr:uid="{566B2664-1662-40AB-BA16-917D5DD8092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5 kit in rework per non fermare la linea
sistema falso apt
err umani</t>
        </r>
      </text>
    </comment>
    <comment ref="DU9" authorId="0" shapeId="0" xr:uid="{397EFC8A-82FF-4F18-BB78-545F56CD705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2fragilizzate
scarpette
spennax</t>
        </r>
      </text>
    </comment>
    <comment ref="DZ9" authorId="0" shapeId="0" xr:uid="{07F7233E-C9A4-42CF-ADBD-9C19C202252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filo scucito</t>
        </r>
      </text>
    </comment>
    <comment ref="EA9" authorId="0" shapeId="0" xr:uid="{A7EB3D0B-90D1-47E9-8A9F-1DB8E34E3139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montaggio errato / mat mancante
</t>
        </r>
      </text>
    </comment>
    <comment ref="EB9" authorId="0" shapeId="0" xr:uid="{AA6F1032-AC9A-447E-A3BC-A3C4FF05DF0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- cablaggio  (velina)
- avv. marriage
</t>
        </r>
      </text>
    </comment>
    <comment ref="EC9" authorId="0" shapeId="0" xr:uid="{226AC176-EE5F-4E4E-9EEE-00A32444E8B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filo tirato
</t>
        </r>
      </text>
    </comment>
    <comment ref="EH9" authorId="0" shapeId="0" xr:uid="{40FF3D95-12B1-4DA9-AD75-D1354C2850A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Err cam rob Angel
avv airbag da eseguire
spugna rotta
</t>
        </r>
      </text>
    </comment>
    <comment ref="EI9" authorId="0" shapeId="0" xr:uid="{CD6FB68A-1A65-449C-93B8-485E4D6F678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err sistema</t>
        </r>
      </text>
    </comment>
    <comment ref="EK9" authorId="0" shapeId="0" xr:uid="{179F6E44-4D6B-4D97-A3E9-542CBD94A51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errore sistema
</t>
        </r>
      </text>
    </comment>
    <comment ref="EP9" authorId="0" shapeId="0" xr:uid="{00E07443-4119-4670-8892-A2AA0AED8C3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13 kit scarpette falsi
4 kit manovra per mancanza bilancella
1 cerniera scusita
</t>
        </r>
      </text>
    </comment>
    <comment ref="EQ9" authorId="0" shapeId="0" xr:uid="{2BBC7775-0F4B-4D8F-B8DD-DC99290788D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sistema avv airbag
montaggio errato
bowden mancanti
</t>
        </r>
      </text>
    </comment>
    <comment ref="ER9" authorId="0" shapeId="0" xr:uid="{EBDDA34A-FB17-49AE-86C1-7C37F630027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errore scarpette
avv airbag
</t>
        </r>
      </text>
    </comment>
    <comment ref="ES9" authorId="0" shapeId="0" xr:uid="{12E49512-2C4E-4706-8163-517E8616625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cable layout etichetta e velina
materiale danneggiato 
spennax mancanti
</t>
        </r>
      </text>
    </comment>
    <comment ref="EX9" authorId="0" shapeId="0" xr:uid="{E2699184-9A97-4595-9C35-D29A49A651C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 mancanti
avvitature da eseguire
</t>
        </r>
      </text>
    </comment>
    <comment ref="EY9" authorId="0" shapeId="0" xr:uid="{9A39E015-2C01-4E83-A7FF-B42DEB8B3D3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 mancanti 2° turno
Gap carter
</t>
        </r>
      </text>
    </comment>
    <comment ref="EZ9" authorId="0" shapeId="0" xr:uid="{077E0B96-92A2-4684-8C8E-F6B8445A398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Matching da eseguire
avvitature airbag x cambio procedura
</t>
        </r>
      </text>
    </comment>
    <comment ref="FH9" authorId="0" shapeId="0" xr:uid="{44AE65EB-F729-4181-9FDA-8EF92319A26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avv bag ko
fodere scucite/ bruciate
</t>
        </r>
      </text>
    </comment>
    <comment ref="FI9" authorId="0" shapeId="0" xr:uid="{7FA2316D-FE74-4B1A-936C-3DD02706190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LETTURA SCHIENALE
MITRAGLIAMENTO</t>
        </r>
      </text>
    </comment>
    <comment ref="FN9" authorId="0" shapeId="0" xr:uid="{47FFC6AC-5EB7-4CAF-A292-F8038E6D11C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
</t>
        </r>
      </text>
    </comment>
    <comment ref="FO9" authorId="0" shapeId="0" xr:uid="{6D7A16B7-B22A-4DF1-B368-EB259034B10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fodere scucite/strappate</t>
        </r>
      </text>
    </comment>
    <comment ref="FP9" authorId="0" shapeId="0" xr:uid="{08BE32D1-A701-4E7E-A82D-77E75173F41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cadenini ondulati
spugna rotta
</t>
        </r>
      </text>
    </comment>
    <comment ref="FU9" authorId="0" shapeId="0" xr:uid="{E71C6408-5313-40AD-8CFE-A817C090C1C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E-E rigata
scarpette
sistema</t>
        </r>
      </text>
    </comment>
    <comment ref="FV9" authorId="0" shapeId="0" xr:uid="{FCFA0BD3-1B67-4947-A67A-EBA0DD5C064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FILO TIRATO (BOCCOLE)
ODERA SCUCITA (CERNIERA)</t>
        </r>
      </text>
    </comment>
    <comment ref="FW9" authorId="0" shapeId="0" xr:uid="{EFFEE32D-E70F-42C8-817C-BB0E285AFCC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 
fodera scucita
</t>
        </r>
      </text>
    </comment>
    <comment ref="GJ9" authorId="0" shapeId="0" xr:uid="{2851E29D-1C3D-4943-9E45-E08DE013E89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matching
cable layout</t>
        </r>
      </text>
    </comment>
    <comment ref="GK9" authorId="0" shapeId="0" xr:uid="{F54675FB-97F4-4E36-8A3A-3F8F1460B4C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Airbag scanning 
marrieage scanning
EE danneggiata</t>
        </r>
      </text>
    </comment>
    <comment ref="GL9" authorId="0" shapeId="0" xr:uid="{8524C1DA-1E35-4792-B309-54F17F497B6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lettura airbag
marriage</t>
        </r>
      </text>
    </comment>
    <comment ref="GM9" authorId="0" shapeId="0" xr:uid="{807F9816-D233-424E-9DC9-FEEEE49942B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MARRIAGE SCANNING
SCARPETTE</t>
        </r>
      </text>
    </comment>
    <comment ref="GQ9" authorId="0" shapeId="0" xr:uid="{7845092A-5EB7-40B4-814F-8E1F3B9F229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marriage
abarth scanning</t>
        </r>
      </text>
    </comment>
    <comment ref="GS9" authorId="0" shapeId="0" xr:uid="{7AAE2BFE-C794-42CB-82DC-CFFE3822DEC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MARRIAGE SCANNING
ABARTH MATCHING</t>
        </r>
      </text>
    </comment>
    <comment ref="HE9" authorId="0" shapeId="0" xr:uid="{8467225D-9325-4724-B53F-E3F5F4814931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recliner cup
lable backrest front scanning</t>
        </r>
      </text>
    </comment>
    <comment ref="HG9" authorId="0" shapeId="0" xr:uid="{36ED695E-58AD-4A5D-8F06-62616C5F4B78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abarth matching
marriage scanning</t>
        </r>
      </text>
    </comment>
    <comment ref="GZ11" authorId="0" shapeId="0" xr:uid="{30C54A6F-D815-478B-8B3B-35A1C0B1BFC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 persona 1h
6 persone 2h
Tot 13 h
</t>
        </r>
      </text>
    </comment>
    <comment ref="HA11" authorId="0" shapeId="0" xr:uid="{222F587F-D561-4A3A-BE35-BA0A88C3B78D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4 persone x 2h</t>
        </r>
      </text>
    </comment>
    <comment ref="HH11" authorId="0" shapeId="0" xr:uid="{2C777C3B-2357-41AC-9894-43F58E34494D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straordinario dalle ore 04:00 alle 06:00</t>
        </r>
      </text>
    </comment>
    <comment ref="HG12" authorId="0" shapeId="0" xr:uid="{578706EE-3E52-4DA4-85B1-57143CE72610}">
      <text>
        <r>
          <rPr>
            <b/>
            <sz val="9"/>
            <color indexed="81"/>
            <rFont val="Tahoma"/>
            <charset val="1"/>
          </rPr>
          <t>Autore:
+15 kit obsoleti</t>
        </r>
      </text>
    </comment>
    <comment ref="CN14" authorId="0" shapeId="0" xr:uid="{3979FF48-FC44-4A8F-8923-9C66A89C62F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+42 sedili singoli per KIPPENHEIM</t>
        </r>
      </text>
    </comment>
    <comment ref="DG14" authorId="0" shapeId="0" xr:uid="{C232E1DF-A425-4AA0-8C55-64E91C5530E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1h assemblea sindacale</t>
        </r>
      </text>
    </comment>
    <comment ref="EC14" authorId="0" shapeId="0" xr:uid="{FE36E5A7-AFE3-483C-B0C0-CDCB6A9D7DE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info</t>
        </r>
      </text>
    </comment>
    <comment ref="EJ14" authorId="0" shapeId="0" xr:uid="{A8C55B58-73D3-4FDD-826A-0C487279BCF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bilancelle
</t>
        </r>
      </text>
    </comment>
    <comment ref="EX14" authorId="0" shapeId="0" xr:uid="{669F3970-2B5B-498E-BE36-6008E7D4BA7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fermo stellantis per assemblea +  guasto
</t>
        </r>
      </text>
    </comment>
    <comment ref="FX14" authorId="0" shapeId="0" xr:uid="{AEA49BE8-E61C-4B6B-999D-330DDD46B12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+ 1 sedile singolo </t>
        </r>
      </text>
    </comment>
    <comment ref="GJ14" authorId="0" shapeId="0" xr:uid="{5AB60B48-F239-4B45-908E-2CF00805708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+ 1 kit Abarth sellato fuori linea</t>
        </r>
      </text>
    </comment>
    <comment ref="GS14" authorId="0" shapeId="0" xr:uid="{5529569A-D65F-44B6-9D37-A7B99CC9136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+11 SEDILI SINGOLI</t>
        </r>
      </text>
    </comment>
    <comment ref="GT14" authorId="0" shapeId="0" xr:uid="{62503794-C3D9-4319-8488-864A11045D7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+7 SEDILI SINGOLI</t>
        </r>
      </text>
    </comment>
    <comment ref="GY14" authorId="0" shapeId="0" xr:uid="{7B403AE8-B887-4D39-A6C0-BFEFE80A5E5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+ 16 sedili singoli passenger GDX </t>
        </r>
      </text>
    </comment>
    <comment ref="GJ17" authorId="0" shapeId="0" xr:uid="{4027561D-1CD7-4D39-8675-22DCBA8F120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boccole montaggio errato 1°
tiranti mancanti 1°
scarpette
matching</t>
        </r>
      </text>
    </comment>
    <comment ref="GY18" authorId="0" shapeId="0" xr:uid="{08175F4E-33FA-4E11-982F-B6E59B6F1DD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+ 1 persona uscita alle ore 20:00 PAR</t>
        </r>
      </text>
    </comment>
    <comment ref="GZ18" authorId="0" shapeId="0" xr:uid="{D060DE33-D87F-4E52-8811-EEBA9D04202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+ 1 persona uscita alle ore 19:00 PAR</t>
        </r>
      </text>
    </comment>
    <comment ref="CC20" authorId="0" shapeId="0" xr:uid="{CB6BE3DA-043C-4EE3-82AD-AACAF393D24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7 kit sistema
matching
mancata lettura etichetta schienale
</t>
        </r>
      </text>
    </comment>
    <comment ref="CD20" authorId="0" shapeId="0" xr:uid="{C86EC571-84B3-4F63-96EC-F8AE6A483B6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9 fragilizzate
montaggio errato</t>
        </r>
      </text>
    </comment>
    <comment ref="CL20" authorId="0" shapeId="0" xr:uid="{FC300717-F681-4499-8834-B4B35C784C1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21kit rework per sistema
tiranti mancanti
punti spennax</t>
        </r>
      </text>
    </comment>
    <comment ref="CR20" authorId="0" shapeId="0" xr:uid="{A38CD450-700F-466E-8404-D363278EDA4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</t>
        </r>
      </text>
    </comment>
    <comment ref="CT20" authorId="0" shapeId="0" xr:uid="{7DCB7589-DCF0-483B-8318-33F796243A6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cerniere
bowden non agganciati</t>
        </r>
      </text>
    </comment>
    <comment ref="CZ20" authorId="0" shapeId="0" xr:uid="{CA358969-5D84-4C0A-9BC2-0CD14F4262E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</t>
        </r>
      </text>
    </comment>
    <comment ref="DA20" authorId="0" shapeId="0" xr:uid="{3D717999-53A5-494A-AADE-0442AD0D9F2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cursore cerniera rotto
mancanza scarpette vero/falso
gap carter-cuscino</t>
        </r>
      </text>
    </comment>
    <comment ref="DF20" authorId="0" shapeId="0" xr:uid="{88FB7C4B-EBE9-4CB2-A7DE-EF08A7D4970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
scarpette
mitragliamento</t>
        </r>
      </text>
    </comment>
    <comment ref="DG20" authorId="0" shapeId="0" xr:uid="{766979D6-9D43-4914-89C0-EDBA5129D83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MITRAGLIAMENTO</t>
        </r>
      </text>
    </comment>
    <comment ref="DH20" authorId="0" shapeId="0" xr:uid="{748A09D6-F7D2-4223-ACA5-A88DF82FF45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GRINZE
MATCHING</t>
        </r>
      </text>
    </comment>
    <comment ref="DL20" authorId="0" shapeId="0" xr:uid="{F69D0A91-EAA5-42CA-A5FB-2F56CD88E5F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SISTEMA CAMERA ROBOT +TEST ELETTRICI</t>
        </r>
      </text>
    </comment>
    <comment ref="DM20" authorId="0" shapeId="0" xr:uid="{CD464F7B-22D7-4A0B-B1BB-6FC4EAC7592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SISTEMA</t>
        </r>
      </text>
    </comment>
    <comment ref="DN20" authorId="0" shapeId="0" xr:uid="{BDCEFE92-C6B3-4E03-8DCD-0F0F6796806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spennax
materiale mancante o errato</t>
        </r>
      </text>
    </comment>
    <comment ref="DO20" authorId="0" shapeId="0" xr:uid="{BBDF26B2-6582-4E74-82CF-06220B276BE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FODERA SCHIENALE SCUCITA
GAP CARTER 
SISTEMA</t>
        </r>
      </text>
    </comment>
    <comment ref="DS20" authorId="0" shapeId="0" xr:uid="{D986E493-1FAD-4681-BEC8-0ABFB9C889C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filo tirato
fodera scucita
spennax
</t>
        </r>
      </text>
    </comment>
    <comment ref="DT20" authorId="0" shapeId="0" xr:uid="{B20CA85E-DFD1-4320-9BC1-1253C09E0E3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6 grinze schienale
</t>
        </r>
      </text>
    </comment>
    <comment ref="DU20" authorId="0" shapeId="0" xr:uid="{4E2087F4-A3A6-477E-A76B-991C9DDD7DE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spennax
cable layout
montaggio</t>
        </r>
      </text>
    </comment>
    <comment ref="EA20" authorId="0" shapeId="0" xr:uid="{25E119B8-B97D-40AA-9A2D-D9F56BF2B61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 scucito cursore
scarpette
avv da eseguire
</t>
        </r>
      </text>
    </comment>
    <comment ref="EB20" authorId="0" shapeId="0" xr:uid="{7108D296-C8AD-4022-A5C7-65953E2F4F6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- scarpette mancante
- sistema</t>
        </r>
      </text>
    </comment>
    <comment ref="EC20" authorId="0" shapeId="0" xr:uid="{B715474B-D09B-4B9E-9D5B-6D3EBBE15F2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filo tirato 1°
errore scarpette e bowden
</t>
        </r>
      </text>
    </comment>
    <comment ref="EI20" authorId="0" shapeId="0" xr:uid="{B4C008C0-F048-43BF-8F57-B14A8C87C9B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FODERE BRUCIATE
SCUCITE</t>
        </r>
      </text>
    </comment>
    <comment ref="EJ20" authorId="0" shapeId="0" xr:uid="{7FA44EE4-9986-4648-A2BC-DF62F4FE49B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err scarpette
1 cerniera 
cable layout etichetta
</t>
        </r>
      </text>
    </comment>
    <comment ref="EK20" authorId="0" shapeId="0" xr:uid="{FFBF1CE9-E0D0-417B-B0C2-08D43754EC0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cavo bowden mancante
fodere scucita
gap carter</t>
        </r>
      </text>
    </comment>
    <comment ref="EP20" authorId="0" shapeId="0" xr:uid="{416762C3-C405-4199-BE8B-3B4AF558EA70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 mancanti
avvitature da eseguire</t>
        </r>
      </text>
    </comment>
    <comment ref="EQ20" authorId="0" shapeId="0" xr:uid="{A58FE1A0-719B-4FB0-8A7E-E88519B0B79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bowden mancante
sistema airbag+ cam robot</t>
        </r>
      </text>
    </comment>
    <comment ref="ER20" authorId="0" shapeId="0" xr:uid="{8BF026CE-F301-4D7E-84AF-C4CD4307744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scarpette
errore sistema cablaggio ko ma collegato correttamente
</t>
        </r>
      </text>
    </comment>
    <comment ref="ES20" authorId="0" shapeId="0" xr:uid="{BC815EE3-19D9-49FB-B4C1-79E64BD35F0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sistema (scarpette + dado airbag
traversa errata
</t>
        </r>
      </text>
    </comment>
    <comment ref="EX20" authorId="0" shapeId="0" xr:uid="{4E0B685B-8DBD-4B4F-B223-79800BE56F9C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eltex scucito
fodere scucite</t>
        </r>
      </text>
    </comment>
    <comment ref="EZ20" authorId="0" shapeId="0" xr:uid="{82ABD4FC-430A-49FA-AE85-E046B973053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matching</t>
        </r>
      </text>
    </comment>
    <comment ref="FA20" authorId="0" shapeId="0" xr:uid="{9C675C2F-914A-4A93-976E-F77BCE8DD25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BOWDEN MANCANTI
MACCHIE</t>
        </r>
      </text>
    </comment>
    <comment ref="FH20" authorId="0" shapeId="0" xr:uid="{E156DB7B-56C3-4D65-AD3D-F9AFE5D4BCCB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rumorosità cavo bowden
errore airbag test elettrici
</t>
        </r>
      </text>
    </comment>
    <comment ref="FI20" authorId="0" shapeId="0" xr:uid="{DA8BDD55-9D89-48A9-BEE3-575266AA599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LETTURA SCHIENALE
MITRAGLIAMENTO</t>
        </r>
      </text>
    </comment>
    <comment ref="FN20" authorId="0" shapeId="0" xr:uid="{9B9ABB5D-14FC-4103-B333-7A55A7E437E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Bordione rotto
Gap cuscino</t>
        </r>
      </text>
    </comment>
    <comment ref="FO20" authorId="0" shapeId="0" xr:uid="{78BE690C-B548-4339-B464-93FF6EB39BF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ondulazione cadenino
grinze schienali</t>
        </r>
      </text>
    </comment>
    <comment ref="FU20" authorId="0" shapeId="0" xr:uid="{3DF81756-9A8B-4ED1-9157-39F6242FC34E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spennax mancante
scarpette</t>
        </r>
      </text>
    </comment>
    <comment ref="FV20" authorId="0" shapeId="0" xr:uid="{F70A085F-4521-4540-92E6-EB92B27522C6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RAMI CINTURA INVERTITI
AVV. AIRBAG DA ESEGUIRE</t>
        </r>
      </text>
    </comment>
    <comment ref="FW20" authorId="0" shapeId="0" xr:uid="{27BB03DD-BA0D-4279-A678-06DAC5E5C73C}">
      <text>
        <r>
          <rPr>
            <b/>
            <sz val="9"/>
            <color indexed="81"/>
            <rFont val="Tahoma"/>
            <family val="2"/>
          </rPr>
          <t xml:space="preserve">Monica D'Urso
</t>
        </r>
        <r>
          <rPr>
            <sz val="9"/>
            <color indexed="81"/>
            <rFont val="Tahoma"/>
            <family val="2"/>
          </rPr>
          <t>Manovra 8kit
cable layout
test elettrico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K20" authorId="0" shapeId="0" xr:uid="{B42F1112-7375-4F1F-8880-3C0EEDD4020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cable layout IA elt etic
marriage scanning
EE danneggiata
</t>
        </r>
      </text>
    </comment>
    <comment ref="GL20" authorId="0" shapeId="0" xr:uid="{AD9DE10C-8DC5-4423-BB2C-02678E9D2BA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airbag + cablaggi non letti
marriage</t>
        </r>
      </text>
    </comment>
    <comment ref="GM20" authorId="0" shapeId="0" xr:uid="{70C2E52C-5A30-4EF1-8830-508E0B676C4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MARRIAGE SCANNIN
SCARPETTE</t>
        </r>
      </text>
    </comment>
    <comment ref="GS20" authorId="0" shapeId="0" xr:uid="{5FD58779-770C-4E98-9A94-AD3D490590BD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ABARTH MATCHING
AIRBAG SCANNING</t>
        </r>
      </text>
    </comment>
    <comment ref="HG20" authorId="0" shapeId="0" xr:uid="{9E514C3B-FE9D-462D-9572-EA859BEC0398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matching schienale/cuscino
</t>
        </r>
      </text>
    </comment>
    <comment ref="HG22" authorId="0" shapeId="0" xr:uid="{03F978C1-2D12-4678-A59A-C986EED31758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Straordinario dalle 22 a mezzanotte</t>
        </r>
      </text>
    </comment>
    <comment ref="FL25" authorId="0" shapeId="0" xr:uid="{7F07581A-C98C-46C0-B535-674EA5F8D35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DIFFUSIONI +  FERMO STL</t>
        </r>
      </text>
    </comment>
    <comment ref="GA25" authorId="0" shapeId="0" xr:uid="{507A9900-FCD5-4B57-8E48-9ADDE847AE71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DIFFUSIONI +  FERMO STL</t>
        </r>
      </text>
    </comment>
    <comment ref="GO25" authorId="0" shapeId="0" xr:uid="{CD7D7CDF-C388-4963-8F1F-E0BA601BCC23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MANCANZA DIFFUSIONI +  FERMO STL</t>
        </r>
      </text>
    </comment>
    <comment ref="EG31" authorId="0" shapeId="0" xr:uid="{A6B3516E-BD63-43B8-A6D6-4B2E13331A74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fodere scucite
fili tirati
errori di sistema
</t>
        </r>
      </text>
    </comment>
    <comment ref="EO31" authorId="0" shapeId="0" xr:uid="{161965DF-DEEB-4969-B301-03B171A78D9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fodere scucite
fili tirati
errori di sistema
</t>
        </r>
      </text>
    </comment>
    <comment ref="FE31" authorId="0" shapeId="0" xr:uid="{3C51EAEA-F86A-4583-A322-EB9D6843AF52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AVVITATURE DA ESEGUIRE
BOWDEN MANCANTI 
GAP CARTER/ CUSCINO</t>
        </r>
      </text>
    </comment>
    <comment ref="FL31" authorId="0" shapeId="0" xr:uid="{11C4B0A2-941D-4841-AF87-D4CE6910597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MITRAGLIAMENTO
LETTURA SCHIENALE FRONT
</t>
        </r>
      </text>
    </comment>
    <comment ref="GA31" authorId="0" shapeId="0" xr:uid="{0AC479D0-B756-4605-8550-5107F518B83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MITRAGLIAMENTO
LETTURA SCHIENALE FRONT
</t>
        </r>
      </text>
    </comment>
    <comment ref="GO31" authorId="0" shapeId="0" xr:uid="{1B43359E-CD92-4827-95D1-BEC593E0691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MITRAGLIAMENTO
LETTURA SCHIENALE FRONT
</t>
        </r>
      </text>
    </comment>
    <comment ref="HF31" authorId="0" shapeId="0" xr:uid="{C3EF9767-C440-48B6-B6AC-F399DD04F9B2}">
      <text>
        <r>
          <rPr>
            <b/>
            <sz val="9"/>
            <color indexed="81"/>
            <rFont val="Tahoma"/>
            <charset val="1"/>
          </rPr>
          <t>Autore:</t>
        </r>
        <r>
          <rPr>
            <sz val="9"/>
            <color indexed="81"/>
            <rFont val="Tahoma"/>
            <charset val="1"/>
          </rPr>
          <t xml:space="preserve">
Matching Backrest / Cushion</t>
        </r>
      </text>
    </comment>
  </commentList>
</comments>
</file>

<file path=xl/sharedStrings.xml><?xml version="1.0" encoding="utf-8"?>
<sst xmlns="http://schemas.openxmlformats.org/spreadsheetml/2006/main" count="292" uniqueCount="193">
  <si>
    <t>1.shift</t>
  </si>
  <si>
    <t>2.shift</t>
  </si>
  <si>
    <t>Front (weekly)</t>
  </si>
  <si>
    <t>Rear (weekly)</t>
  </si>
  <si>
    <t>Front Line</t>
  </si>
  <si>
    <t>Rear Line</t>
  </si>
  <si>
    <t>Absenteeism</t>
  </si>
  <si>
    <t>Total Martur</t>
  </si>
  <si>
    <t>Cars</t>
  </si>
  <si>
    <t>DMC Line</t>
  </si>
  <si>
    <t>DMC (weekly)</t>
  </si>
  <si>
    <t>TOTALE  KIT WK Front Line</t>
  </si>
  <si>
    <t>TOTALE  KIT WK Rear  Line</t>
  </si>
  <si>
    <t>ABARTH schienali front/rear</t>
  </si>
  <si>
    <r>
      <t>* CIGO</t>
    </r>
    <r>
      <rPr>
        <b/>
        <sz val="14"/>
        <rFont val="Calibri"/>
        <family val="2"/>
        <scheme val="minor"/>
      </rPr>
      <t xml:space="preserve"> /</t>
    </r>
  </si>
  <si>
    <t>6W GSX DRIVER</t>
  </si>
  <si>
    <t>4W GSX DRIVER</t>
  </si>
  <si>
    <t>6WGDX DRIVER</t>
  </si>
  <si>
    <t>4W GDX DRIVER</t>
  </si>
  <si>
    <t>4W GSX  PASS.</t>
  </si>
  <si>
    <t>4W GDX PASS.</t>
  </si>
  <si>
    <t>4W GSX  PASS. NAFTA</t>
  </si>
  <si>
    <t>BUFFER DMC</t>
  </si>
  <si>
    <t>WK01</t>
  </si>
  <si>
    <t>WK02</t>
  </si>
  <si>
    <t>week01</t>
  </si>
  <si>
    <t>week02</t>
  </si>
  <si>
    <t>week 01</t>
  </si>
  <si>
    <t>week 02</t>
  </si>
  <si>
    <t>week 03</t>
  </si>
  <si>
    <t>6W GSX DRIVER  NAFTA</t>
  </si>
  <si>
    <t>ABATH ALCANTARA GSX  BASE DRIVER</t>
  </si>
  <si>
    <t>ABATH ALCANTARA GSX  BASE PASS.</t>
  </si>
  <si>
    <t>ABATH ALCANTARA GSX   FULL DRIVER</t>
  </si>
  <si>
    <t>ABATH ALCANTARA GDX   FULL DRIVER</t>
  </si>
  <si>
    <t>ABATH ALCANTARA AUSTRALIA DRIVER /GIAPPONE GDX   FULL</t>
  </si>
  <si>
    <t>ABARTH TESSUTO  GSX BASE DRIVER</t>
  </si>
  <si>
    <t>ABARTH TESSUTO  GSX FULL DRIVER</t>
  </si>
  <si>
    <t>ABATH ALCANTARA GSX   FULL PASS.</t>
  </si>
  <si>
    <t>ABATH ALCANTARA GDX   FULL PASS.</t>
  </si>
  <si>
    <t>ABATH ALCANTARA AUSTRALIA  PASS. /GIAPPONE GDX   FULL</t>
  </si>
  <si>
    <t>ABARTH TESSUTO  GSX BASE PASS.</t>
  </si>
  <si>
    <t>ABARTH TESSUTO  GSX FULL PASS.</t>
  </si>
  <si>
    <t>BUFFER ABARTH SCH.ANT.
KIT (DRIVER/PASS.)</t>
  </si>
  <si>
    <t>COD.</t>
  </si>
  <si>
    <t>week 04</t>
  </si>
  <si>
    <t>week 05</t>
  </si>
  <si>
    <t>week 06</t>
  </si>
  <si>
    <t>week 07</t>
  </si>
  <si>
    <t>week 08</t>
  </si>
  <si>
    <t>week 09</t>
  </si>
  <si>
    <t>week 10</t>
  </si>
  <si>
    <t>week 11</t>
  </si>
  <si>
    <t>week 12</t>
  </si>
  <si>
    <t>week 13</t>
  </si>
  <si>
    <t>FESTA</t>
  </si>
  <si>
    <t>dalle 08:00 alle 12:00 per collaudo linee</t>
  </si>
  <si>
    <t>week03</t>
  </si>
  <si>
    <t>WK03</t>
  </si>
  <si>
    <t>week04</t>
  </si>
  <si>
    <t>week05</t>
  </si>
  <si>
    <t>week06</t>
  </si>
  <si>
    <t>week07</t>
  </si>
  <si>
    <t>week08</t>
  </si>
  <si>
    <t>week09</t>
  </si>
  <si>
    <t>week10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</si>
  <si>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</si>
  <si>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</si>
  <si>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</si>
  <si>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</si>
  <si>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</si>
  <si>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</si>
  <si>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</si>
  <si>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</si>
  <si>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</si>
  <si>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mancanza carter esterno sx</t>
  </si>
  <si>
    <t>Uscita alle ore 09:30 per fermo produttivo in STL</t>
  </si>
  <si>
    <t>inizio mini secondo turno</t>
  </si>
  <si>
    <t>Total Client 1°</t>
  </si>
  <si>
    <t>Total Client 2°</t>
  </si>
  <si>
    <t>assemblea sindacale 1 ora</t>
  </si>
  <si>
    <t>ASSEMBLEA STL 1,5h</t>
  </si>
  <si>
    <t>1h assemblea sindacale interna</t>
  </si>
  <si>
    <t>rallentamenti di stl sul 1°</t>
  </si>
  <si>
    <t>5h straordinario, STL recupero giorno</t>
  </si>
  <si>
    <t>lavorato 4ore</t>
  </si>
  <si>
    <t>rework</t>
  </si>
  <si>
    <t>%Absenteeism</t>
  </si>
  <si>
    <t>%rework</t>
  </si>
  <si>
    <t>efficiency(kit/presence)</t>
  </si>
  <si>
    <t>efficiency (kit/presence)</t>
  </si>
  <si>
    <t>week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</si>
  <si>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</si>
  <si>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</si>
  <si>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</si>
  <si>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</si>
  <si>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</si>
  <si>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</si>
  <si>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</si>
  <si>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</si>
  <si>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</si>
  <si>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</si>
  <si>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</si>
  <si>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</si>
  <si>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</si>
  <si>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straordinario 4 ore</t>
  </si>
  <si>
    <t>assemblea sindacale interna 1 ora</t>
  </si>
  <si>
    <t>Overtime (h)</t>
  </si>
  <si>
    <t>Assenteismo
formazione
assunzioni</t>
  </si>
  <si>
    <t xml:space="preserve">% Overtime </t>
  </si>
  <si>
    <t>% rework</t>
  </si>
  <si>
    <t>week 14</t>
  </si>
  <si>
    <t>week 15</t>
  </si>
  <si>
    <t>Presenze</t>
  </si>
  <si>
    <t>WK13</t>
  </si>
  <si>
    <t>WK14</t>
  </si>
  <si>
    <t>WK15</t>
  </si>
  <si>
    <t>week 16</t>
  </si>
  <si>
    <t>week 17</t>
  </si>
  <si>
    <t>week 18</t>
  </si>
  <si>
    <t>week 19</t>
  </si>
  <si>
    <t>week 20</t>
  </si>
  <si>
    <t>week 21</t>
  </si>
  <si>
    <t>WK16</t>
  </si>
  <si>
    <r>
      <t xml:space="preserve">Sabato </t>
    </r>
    <r>
      <rPr>
        <sz val="9"/>
        <color theme="1"/>
        <rFont val="Calibri"/>
        <family val="2"/>
        <scheme val="minor"/>
      </rPr>
      <t>11/04</t>
    </r>
  </si>
  <si>
    <t>Sabato</t>
  </si>
  <si>
    <t>WEEK</t>
  </si>
  <si>
    <t>WK17</t>
  </si>
  <si>
    <t>WK18</t>
  </si>
  <si>
    <t>WK19</t>
  </si>
  <si>
    <t>WK20</t>
  </si>
  <si>
    <t>WK21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</si>
  <si>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</si>
  <si>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</si>
  <si>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</si>
  <si>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</si>
  <si>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</si>
  <si>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</si>
  <si>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</si>
  <si>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</si>
  <si>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</si>
  <si>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JIT</t>
  </si>
  <si>
    <t>W19</t>
  </si>
  <si>
    <t>Target</t>
  </si>
  <si>
    <t>W20</t>
  </si>
  <si>
    <t>W21</t>
  </si>
  <si>
    <t>Production Output (pcs)</t>
  </si>
  <si>
    <t>Scrap (€)</t>
  </si>
  <si>
    <t xml:space="preserve"> -   € </t>
  </si>
  <si>
    <t>Efficiency (%)</t>
  </si>
  <si>
    <t>Absenteism (%)</t>
  </si>
  <si>
    <t>Extra Freight (€)</t>
  </si>
  <si>
    <t xml:space="preserve">-   € </t>
  </si>
  <si>
    <t>Over Time (%)</t>
  </si>
  <si>
    <t>COGİ (pcs)</t>
  </si>
  <si>
    <t>Italy Plant</t>
  </si>
  <si>
    <t>W22</t>
  </si>
  <si>
    <t>TOP ISSUES</t>
  </si>
  <si>
    <t>Lack of Seat containers (Bilancella) caused production slowdowns</t>
  </si>
  <si>
    <t>The main quality defects :missing Bowden cable, lining unstitched, error in cable label reading.</t>
  </si>
  <si>
    <t>Attachements Required:</t>
  </si>
  <si>
    <t>Responsible</t>
  </si>
  <si>
    <t xml:space="preserve">1) Shop Floor Time Sheet </t>
  </si>
  <si>
    <t>HRBP</t>
  </si>
  <si>
    <t xml:space="preserve">2) SMQDCP </t>
  </si>
  <si>
    <t>Meeting done</t>
  </si>
  <si>
    <t>WK22</t>
  </si>
  <si>
    <t>WK23</t>
  </si>
  <si>
    <t>WK24</t>
  </si>
  <si>
    <t>WK25</t>
  </si>
  <si>
    <t>WK26</t>
  </si>
  <si>
    <t>WK27</t>
  </si>
  <si>
    <t>Tot day client</t>
  </si>
  <si>
    <t>The main quality defects :Spennax Hog Rings (jamming during stapling), OP60 sliding guides KO; missing "scarpette" or incorrect reading.</t>
  </si>
  <si>
    <t>week24</t>
  </si>
  <si>
    <t>week25</t>
  </si>
  <si>
    <t>week26</t>
  </si>
  <si>
    <t>week27</t>
  </si>
  <si>
    <t>WEEK 23</t>
  </si>
  <si>
    <t>Dummy</t>
  </si>
  <si>
    <t>WK28</t>
  </si>
  <si>
    <t>WK29</t>
  </si>
  <si>
    <t>WK30</t>
  </si>
  <si>
    <t>WK31</t>
  </si>
  <si>
    <t>week28</t>
  </si>
  <si>
    <t>week29</t>
  </si>
  <si>
    <t>week30</t>
  </si>
  <si>
    <t>week31</t>
  </si>
  <si>
    <t>week32</t>
  </si>
  <si>
    <t>Coda</t>
  </si>
  <si>
    <t>CIGO</t>
  </si>
  <si>
    <t>PAR COLLETTIVO 2° TURNO</t>
  </si>
  <si>
    <t>CIGO 2°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</si>
</sst>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\ &quot;€&quot;;[Red]\-#,##0.00\ &quot;€&quot;"/>
    <numFmt numFmtId="165" formatCode="0.0%"/>
  </numFmts>
  <fonts count="3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7" fillId="0" borderId="0"/>
  </cellStyleXfs>
  <cellXfs count="360">
    <xf numFmtId="0" fontId="0" fillId="0" borderId="0" xfId="0"/>
    <xf numFmtId="0" fontId="0" fillId="0" borderId="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0" xfId="0" applyFont="1"/>
    <xf numFmtId="0" fontId="2" fillId="0" borderId="21" xfId="0" applyFont="1" applyBorder="1" applyAlignment="1">
      <alignment horizontal="center"/>
    </xf>
    <xf numFmtId="0" fontId="5" fillId="0" borderId="0" xfId="0" applyFont="1"/>
    <xf numFmtId="14" fontId="5" fillId="0" borderId="10" xfId="0" applyNumberFormat="1" applyFont="1" applyBorder="1"/>
    <xf numFmtId="0" fontId="2" fillId="0" borderId="0" xfId="0" applyFont="1" applyAlignment="1">
      <alignment horizontal="center"/>
    </xf>
    <xf numFmtId="14" fontId="0" fillId="0" borderId="24" xfId="0" applyNumberFormat="1" applyBorder="1"/>
    <xf numFmtId="0" fontId="0" fillId="3" borderId="25" xfId="0" applyFill="1" applyBorder="1"/>
    <xf numFmtId="0" fontId="1" fillId="0" borderId="0" xfId="0" applyFont="1" applyAlignment="1">
      <alignment horizontal="center"/>
    </xf>
    <xf numFmtId="0" fontId="0" fillId="0" borderId="24" xfId="0" applyBorder="1"/>
    <xf numFmtId="0" fontId="0" fillId="0" borderId="13" xfId="0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3" xfId="0" applyFill="1" applyBorder="1"/>
    <xf numFmtId="0" fontId="0" fillId="0" borderId="0" xfId="0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30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13" fillId="2" borderId="3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3" fillId="0" borderId="0" xfId="0" applyFont="1" applyAlignment="1">
      <alignment horizontal="center" vertical="center"/>
    </xf>
    <xf numFmtId="0" fontId="13" fillId="2" borderId="18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3" fillId="2" borderId="35" xfId="0" applyFont="1" applyFill="1" applyBorder="1" applyAlignment="1">
      <alignment horizontal="center"/>
    </xf>
    <xf numFmtId="0" fontId="1" fillId="0" borderId="25" xfId="0" applyFont="1" applyBorder="1"/>
    <xf numFmtId="0" fontId="1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5" xfId="1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9" fontId="3" fillId="2" borderId="25" xfId="2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2" borderId="25" xfId="0" applyFill="1" applyBorder="1" applyAlignment="1">
      <alignment horizontal="right"/>
    </xf>
    <xf numFmtId="0" fontId="3" fillId="2" borderId="25" xfId="0" applyFont="1" applyFill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7" fillId="0" borderId="25" xfId="0" applyFont="1" applyBorder="1" applyAlignment="1">
      <alignment horizontal="right"/>
    </xf>
    <xf numFmtId="9" fontId="0" fillId="2" borderId="25" xfId="2" applyFont="1" applyFill="1" applyBorder="1" applyAlignment="1">
      <alignment horizontal="center"/>
    </xf>
    <xf numFmtId="0" fontId="0" fillId="2" borderId="36" xfId="0" applyFill="1" applyBorder="1" applyAlignment="1">
      <alignment horizontal="right"/>
    </xf>
    <xf numFmtId="0" fontId="0" fillId="2" borderId="36" xfId="0" applyFill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8" fillId="0" borderId="0" xfId="0" applyFont="1"/>
    <xf numFmtId="0" fontId="14" fillId="2" borderId="25" xfId="0" applyFont="1" applyFill="1" applyBorder="1" applyAlignment="1">
      <alignment horizontal="center"/>
    </xf>
    <xf numFmtId="0" fontId="2" fillId="0" borderId="0" xfId="0" applyFont="1"/>
    <xf numFmtId="0" fontId="22" fillId="2" borderId="16" xfId="0" applyFont="1" applyFill="1" applyBorder="1" applyAlignment="1">
      <alignment horizontal="center"/>
    </xf>
    <xf numFmtId="3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2" borderId="25" xfId="2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9" fontId="8" fillId="2" borderId="25" xfId="2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1" fontId="3" fillId="2" borderId="25" xfId="0" applyNumberFormat="1" applyFont="1" applyFill="1" applyBorder="1" applyAlignment="1">
      <alignment horizontal="center"/>
    </xf>
    <xf numFmtId="1" fontId="14" fillId="2" borderId="25" xfId="0" applyNumberFormat="1" applyFont="1" applyFill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1" fontId="0" fillId="2" borderId="25" xfId="2" applyNumberFormat="1" applyFont="1" applyFill="1" applyBorder="1" applyAlignment="1">
      <alignment horizontal="center"/>
    </xf>
    <xf numFmtId="1" fontId="14" fillId="2" borderId="25" xfId="2" applyNumberFormat="1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38" xfId="0" applyBorder="1"/>
    <xf numFmtId="0" fontId="6" fillId="0" borderId="42" xfId="0" applyFont="1" applyBorder="1"/>
    <xf numFmtId="0" fontId="6" fillId="0" borderId="41" xfId="0" applyFont="1" applyBorder="1"/>
    <xf numFmtId="0" fontId="6" fillId="0" borderId="43" xfId="0" applyFont="1" applyBorder="1"/>
    <xf numFmtId="0" fontId="6" fillId="0" borderId="44" xfId="0" applyFont="1" applyBorder="1"/>
    <xf numFmtId="0" fontId="6" fillId="0" borderId="0" xfId="0" applyFont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32" xfId="0" applyBorder="1"/>
    <xf numFmtId="0" fontId="0" fillId="0" borderId="14" xfId="0" applyBorder="1"/>
    <xf numFmtId="0" fontId="0" fillId="0" borderId="51" xfId="0" applyBorder="1"/>
    <xf numFmtId="0" fontId="0" fillId="0" borderId="39" xfId="0" applyBorder="1"/>
    <xf numFmtId="0" fontId="0" fillId="0" borderId="52" xfId="0" applyBorder="1"/>
    <xf numFmtId="0" fontId="0" fillId="0" borderId="40" xfId="0" applyBorder="1"/>
    <xf numFmtId="0" fontId="0" fillId="0" borderId="44" xfId="0" applyBorder="1"/>
    <xf numFmtId="0" fontId="7" fillId="7" borderId="24" xfId="0" applyFont="1" applyFill="1" applyBorder="1" applyAlignment="1">
      <alignment horizontal="center" vertical="center" wrapText="1"/>
    </xf>
    <xf numFmtId="0" fontId="28" fillId="8" borderId="24" xfId="0" applyFont="1" applyFill="1" applyBorder="1" applyAlignment="1">
      <alignment horizontal="center" vertical="center" wrapText="1"/>
    </xf>
    <xf numFmtId="9" fontId="21" fillId="0" borderId="25" xfId="2" applyFont="1" applyBorder="1" applyAlignment="1">
      <alignment horizontal="center"/>
    </xf>
    <xf numFmtId="9" fontId="15" fillId="2" borderId="25" xfId="2" applyFont="1" applyFill="1" applyBorder="1" applyAlignment="1">
      <alignment horizontal="center"/>
    </xf>
    <xf numFmtId="165" fontId="3" fillId="2" borderId="25" xfId="2" applyNumberFormat="1" applyFont="1" applyFill="1" applyBorder="1" applyAlignment="1">
      <alignment horizontal="center"/>
    </xf>
    <xf numFmtId="3" fontId="1" fillId="0" borderId="25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9" fontId="29" fillId="0" borderId="25" xfId="2" applyFont="1" applyBorder="1" applyAlignment="1">
      <alignment horizontal="center"/>
    </xf>
    <xf numFmtId="0" fontId="29" fillId="0" borderId="25" xfId="2" applyNumberFormat="1" applyFont="1" applyBorder="1" applyAlignment="1">
      <alignment horizontal="center"/>
    </xf>
    <xf numFmtId="0" fontId="1" fillId="0" borderId="0" xfId="0" applyFont="1"/>
    <xf numFmtId="0" fontId="1" fillId="0" borderId="24" xfId="0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5" fillId="0" borderId="24" xfId="0" applyFont="1" applyBorder="1"/>
    <xf numFmtId="14" fontId="5" fillId="0" borderId="24" xfId="0" applyNumberFormat="1" applyFont="1" applyBorder="1"/>
    <xf numFmtId="14" fontId="11" fillId="0" borderId="24" xfId="0" applyNumberFormat="1" applyFont="1" applyBorder="1" applyAlignment="1">
      <alignment horizontal="center"/>
    </xf>
    <xf numFmtId="14" fontId="18" fillId="0" borderId="24" xfId="0" applyNumberFormat="1" applyFont="1" applyBorder="1" applyAlignment="1">
      <alignment horizontal="center"/>
    </xf>
    <xf numFmtId="14" fontId="11" fillId="0" borderId="24" xfId="0" applyNumberFormat="1" applyFont="1" applyBorder="1"/>
    <xf numFmtId="0" fontId="0" fillId="0" borderId="24" xfId="0" applyBorder="1" applyAlignment="1">
      <alignment horizontal="right"/>
    </xf>
    <xf numFmtId="0" fontId="3" fillId="0" borderId="24" xfId="0" applyFont="1" applyBorder="1" applyAlignment="1">
      <alignment horizontal="right"/>
    </xf>
    <xf numFmtId="0" fontId="7" fillId="4" borderId="24" xfId="0" applyFont="1" applyFill="1" applyBorder="1" applyAlignment="1">
      <alignment vertical="center" wrapText="1"/>
    </xf>
    <xf numFmtId="0" fontId="7" fillId="0" borderId="24" xfId="0" applyFont="1" applyBorder="1" applyAlignment="1">
      <alignment horizontal="right"/>
    </xf>
    <xf numFmtId="3" fontId="0" fillId="0" borderId="24" xfId="0" applyNumberFormat="1" applyBorder="1"/>
    <xf numFmtId="0" fontId="2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4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vertical="top" wrapText="1"/>
    </xf>
    <xf numFmtId="0" fontId="3" fillId="0" borderId="24" xfId="0" applyFont="1" applyBorder="1" applyAlignment="1">
      <alignment vertical="center"/>
    </xf>
    <xf numFmtId="0" fontId="9" fillId="0" borderId="24" xfId="0" applyFont="1" applyBorder="1" applyAlignment="1">
      <alignment horizontal="center"/>
    </xf>
    <xf numFmtId="0" fontId="0" fillId="2" borderId="9" xfId="0" applyFill="1" applyBorder="1" applyAlignment="1">
      <alignment horizontal="right"/>
    </xf>
    <xf numFmtId="0" fontId="6" fillId="2" borderId="36" xfId="0" applyFont="1" applyFill="1" applyBorder="1" applyAlignment="1">
      <alignment horizontal="center"/>
    </xf>
    <xf numFmtId="0" fontId="0" fillId="2" borderId="37" xfId="0" applyFill="1" applyBorder="1" applyAlignment="1">
      <alignment horizontal="right"/>
    </xf>
    <xf numFmtId="0" fontId="6" fillId="2" borderId="25" xfId="0" applyFont="1" applyFill="1" applyBorder="1" applyAlignment="1">
      <alignment horizontal="center"/>
    </xf>
    <xf numFmtId="9" fontId="6" fillId="2" borderId="25" xfId="0" applyNumberFormat="1" applyFont="1" applyFill="1" applyBorder="1" applyAlignment="1">
      <alignment horizontal="center"/>
    </xf>
    <xf numFmtId="9" fontId="15" fillId="2" borderId="25" xfId="0" applyNumberFormat="1" applyFont="1" applyFill="1" applyBorder="1" applyAlignment="1">
      <alignment horizontal="center"/>
    </xf>
    <xf numFmtId="9" fontId="14" fillId="2" borderId="25" xfId="2" applyFont="1" applyFill="1" applyBorder="1" applyAlignment="1">
      <alignment horizontal="center"/>
    </xf>
    <xf numFmtId="1" fontId="8" fillId="2" borderId="25" xfId="2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right"/>
    </xf>
    <xf numFmtId="1" fontId="0" fillId="2" borderId="25" xfId="0" applyNumberFormat="1" applyFill="1" applyBorder="1" applyAlignment="1">
      <alignment horizontal="center"/>
    </xf>
    <xf numFmtId="0" fontId="14" fillId="2" borderId="25" xfId="2" applyNumberFormat="1" applyFont="1" applyFill="1" applyBorder="1" applyAlignment="1">
      <alignment horizontal="center"/>
    </xf>
    <xf numFmtId="0" fontId="1" fillId="0" borderId="37" xfId="0" applyFont="1" applyBorder="1" applyAlignment="1">
      <alignment horizontal="right"/>
    </xf>
    <xf numFmtId="1" fontId="6" fillId="2" borderId="25" xfId="0" applyNumberFormat="1" applyFont="1" applyFill="1" applyBorder="1" applyAlignment="1">
      <alignment horizontal="center"/>
    </xf>
    <xf numFmtId="0" fontId="2" fillId="0" borderId="37" xfId="0" applyFont="1" applyBorder="1" applyAlignment="1">
      <alignment horizontal="right"/>
    </xf>
    <xf numFmtId="1" fontId="14" fillId="0" borderId="25" xfId="0" applyNumberFormat="1" applyFont="1" applyBorder="1" applyAlignment="1">
      <alignment horizontal="center"/>
    </xf>
    <xf numFmtId="9" fontId="16" fillId="2" borderId="25" xfId="2" applyFont="1" applyFill="1" applyBorder="1" applyAlignment="1">
      <alignment horizontal="center"/>
    </xf>
    <xf numFmtId="0" fontId="3" fillId="2" borderId="25" xfId="2" applyNumberFormat="1" applyFont="1" applyFill="1" applyBorder="1" applyAlignment="1">
      <alignment horizontal="center"/>
    </xf>
    <xf numFmtId="0" fontId="15" fillId="2" borderId="25" xfId="2" applyNumberFormat="1" applyFont="1" applyFill="1" applyBorder="1" applyAlignment="1">
      <alignment horizontal="center"/>
    </xf>
    <xf numFmtId="9" fontId="2" fillId="0" borderId="25" xfId="0" applyNumberFormat="1" applyFont="1" applyBorder="1" applyAlignment="1">
      <alignment horizontal="center"/>
    </xf>
    <xf numFmtId="9" fontId="2" fillId="0" borderId="25" xfId="2" applyFont="1" applyBorder="1" applyAlignment="1">
      <alignment horizontal="center"/>
    </xf>
    <xf numFmtId="0" fontId="7" fillId="0" borderId="37" xfId="0" applyFont="1" applyBorder="1" applyAlignment="1">
      <alignment horizontal="right"/>
    </xf>
    <xf numFmtId="0" fontId="14" fillId="0" borderId="25" xfId="0" applyFont="1" applyBorder="1"/>
    <xf numFmtId="3" fontId="1" fillId="0" borderId="3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4" borderId="4" xfId="0" applyNumberFormat="1" applyFont="1" applyFill="1" applyBorder="1" applyAlignment="1">
      <alignment horizontal="center"/>
    </xf>
    <xf numFmtId="0" fontId="0" fillId="0" borderId="4" xfId="0" applyBorder="1"/>
    <xf numFmtId="3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9" fillId="0" borderId="25" xfId="0" applyFont="1" applyBorder="1" applyAlignment="1">
      <alignment horizontal="center"/>
    </xf>
    <xf numFmtId="0" fontId="9" fillId="0" borderId="25" xfId="0" applyFont="1" applyBorder="1"/>
    <xf numFmtId="0" fontId="9" fillId="0" borderId="2" xfId="0" applyFont="1" applyBorder="1"/>
    <xf numFmtId="9" fontId="6" fillId="2" borderId="25" xfId="2" applyFont="1" applyFill="1" applyBorder="1" applyAlignment="1">
      <alignment horizontal="center"/>
    </xf>
    <xf numFmtId="1" fontId="6" fillId="2" borderId="25" xfId="2" applyNumberFormat="1" applyFont="1" applyFill="1" applyBorder="1" applyAlignment="1">
      <alignment horizontal="center"/>
    </xf>
    <xf numFmtId="1" fontId="15" fillId="0" borderId="25" xfId="0" applyNumberFormat="1" applyFont="1" applyBorder="1" applyAlignment="1">
      <alignment horizontal="center"/>
    </xf>
    <xf numFmtId="0" fontId="16" fillId="0" borderId="25" xfId="0" applyFont="1" applyBorder="1"/>
    <xf numFmtId="0" fontId="16" fillId="0" borderId="2" xfId="0" applyFont="1" applyBorder="1"/>
    <xf numFmtId="0" fontId="15" fillId="0" borderId="25" xfId="0" applyFont="1" applyBorder="1" applyAlignment="1">
      <alignment horizontal="center"/>
    </xf>
    <xf numFmtId="0" fontId="7" fillId="0" borderId="25" xfId="0" applyFont="1" applyBorder="1"/>
    <xf numFmtId="0" fontId="7" fillId="0" borderId="2" xfId="0" applyFont="1" applyBorder="1"/>
    <xf numFmtId="1" fontId="7" fillId="0" borderId="25" xfId="0" applyNumberFormat="1" applyFont="1" applyBorder="1"/>
    <xf numFmtId="9" fontId="16" fillId="0" borderId="25" xfId="0" applyNumberFormat="1" applyFont="1" applyBorder="1"/>
    <xf numFmtId="0" fontId="13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9" fontId="14" fillId="2" borderId="26" xfId="2" applyFont="1" applyFill="1" applyBorder="1" applyAlignment="1">
      <alignment horizontal="center"/>
    </xf>
    <xf numFmtId="1" fontId="8" fillId="2" borderId="26" xfId="2" applyNumberFormat="1" applyFont="1" applyFill="1" applyBorder="1" applyAlignment="1">
      <alignment horizontal="center"/>
    </xf>
    <xf numFmtId="1" fontId="3" fillId="2" borderId="26" xfId="0" applyNumberFormat="1" applyFont="1" applyFill="1" applyBorder="1" applyAlignment="1">
      <alignment horizontal="center"/>
    </xf>
    <xf numFmtId="9" fontId="3" fillId="2" borderId="26" xfId="2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9" fillId="0" borderId="26" xfId="0" applyFont="1" applyBorder="1" applyAlignment="1">
      <alignment horizontal="center"/>
    </xf>
    <xf numFmtId="9" fontId="6" fillId="2" borderId="26" xfId="0" applyNumberFormat="1" applyFont="1" applyFill="1" applyBorder="1" applyAlignment="1">
      <alignment horizontal="center"/>
    </xf>
    <xf numFmtId="1" fontId="6" fillId="2" borderId="26" xfId="0" applyNumberFormat="1" applyFont="1" applyFill="1" applyBorder="1" applyAlignment="1">
      <alignment horizontal="center"/>
    </xf>
    <xf numFmtId="1" fontId="15" fillId="0" borderId="26" xfId="0" applyNumberFormat="1" applyFont="1" applyBorder="1" applyAlignment="1">
      <alignment horizontal="center"/>
    </xf>
    <xf numFmtId="9" fontId="15" fillId="2" borderId="26" xfId="2" applyFont="1" applyFill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6" fillId="0" borderId="26" xfId="0" applyFont="1" applyBorder="1"/>
    <xf numFmtId="0" fontId="7" fillId="0" borderId="26" xfId="0" applyFont="1" applyBorder="1"/>
    <xf numFmtId="3" fontId="1" fillId="0" borderId="26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3" fontId="0" fillId="0" borderId="54" xfId="0" applyNumberFormat="1" applyBorder="1"/>
    <xf numFmtId="0" fontId="7" fillId="0" borderId="28" xfId="0" applyFont="1" applyBorder="1" applyAlignment="1">
      <alignment horizontal="center"/>
    </xf>
    <xf numFmtId="0" fontId="0" fillId="0" borderId="55" xfId="0" applyBorder="1"/>
    <xf numFmtId="0" fontId="0" fillId="2" borderId="9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9" fontId="8" fillId="2" borderId="37" xfId="2" applyFont="1" applyFill="1" applyBorder="1" applyAlignment="1">
      <alignment horizontal="center"/>
    </xf>
    <xf numFmtId="9" fontId="14" fillId="2" borderId="2" xfId="2" applyFont="1" applyFill="1" applyBorder="1" applyAlignment="1">
      <alignment horizontal="center"/>
    </xf>
    <xf numFmtId="1" fontId="8" fillId="2" borderId="2" xfId="2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9" fontId="3" fillId="2" borderId="37" xfId="2" applyFont="1" applyFill="1" applyBorder="1" applyAlignment="1">
      <alignment horizontal="center"/>
    </xf>
    <xf numFmtId="9" fontId="3" fillId="2" borderId="2" xfId="2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29" fillId="0" borderId="37" xfId="2" applyNumberFormat="1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9" fontId="6" fillId="2" borderId="37" xfId="2" applyFont="1" applyFill="1" applyBorder="1" applyAlignment="1">
      <alignment horizontal="center"/>
    </xf>
    <xf numFmtId="9" fontId="6" fillId="2" borderId="2" xfId="0" applyNumberFormat="1" applyFont="1" applyFill="1" applyBorder="1" applyAlignment="1">
      <alignment horizontal="center"/>
    </xf>
    <xf numFmtId="1" fontId="6" fillId="2" borderId="37" xfId="2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1" fontId="15" fillId="0" borderId="37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9" fontId="15" fillId="2" borderId="37" xfId="2" applyFont="1" applyFill="1" applyBorder="1" applyAlignment="1">
      <alignment horizontal="center"/>
    </xf>
    <xf numFmtId="9" fontId="15" fillId="2" borderId="2" xfId="2" applyFont="1" applyFill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9" fontId="16" fillId="0" borderId="37" xfId="0" applyNumberFormat="1" applyFont="1" applyBorder="1"/>
    <xf numFmtId="0" fontId="7" fillId="0" borderId="37" xfId="0" applyFont="1" applyBorder="1"/>
    <xf numFmtId="0" fontId="7" fillId="0" borderId="37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9" fontId="0" fillId="2" borderId="2" xfId="0" applyNumberFormat="1" applyFill="1" applyBorder="1" applyAlignment="1">
      <alignment horizontal="center"/>
    </xf>
    <xf numFmtId="3" fontId="0" fillId="0" borderId="5" xfId="0" applyNumberFormat="1" applyBorder="1"/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9" fontId="3" fillId="2" borderId="4" xfId="2" applyFont="1" applyFill="1" applyBorder="1" applyAlignment="1">
      <alignment horizontal="center"/>
    </xf>
    <xf numFmtId="9" fontId="15" fillId="2" borderId="4" xfId="2" applyFont="1" applyFill="1" applyBorder="1" applyAlignment="1">
      <alignment horizontal="center"/>
    </xf>
    <xf numFmtId="9" fontId="21" fillId="0" borderId="4" xfId="2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5" fontId="3" fillId="2" borderId="4" xfId="2" applyNumberFormat="1" applyFont="1" applyFill="1" applyBorder="1" applyAlignment="1">
      <alignment horizontal="center"/>
    </xf>
    <xf numFmtId="9" fontId="29" fillId="0" borderId="4" xfId="2" applyFont="1" applyBorder="1" applyAlignment="1">
      <alignment horizontal="center"/>
    </xf>
    <xf numFmtId="0" fontId="21" fillId="0" borderId="4" xfId="2" applyNumberFormat="1" applyFont="1" applyBorder="1" applyAlignment="1">
      <alignment horizontal="center"/>
    </xf>
    <xf numFmtId="1" fontId="21" fillId="0" borderId="3" xfId="2" applyNumberFormat="1" applyFont="1" applyBorder="1" applyAlignment="1">
      <alignment horizontal="center"/>
    </xf>
    <xf numFmtId="1" fontId="21" fillId="0" borderId="4" xfId="2" applyNumberFormat="1" applyFont="1" applyBorder="1" applyAlignment="1">
      <alignment horizontal="center"/>
    </xf>
    <xf numFmtId="0" fontId="0" fillId="0" borderId="23" xfId="0" applyBorder="1"/>
    <xf numFmtId="3" fontId="1" fillId="0" borderId="17" xfId="0" applyNumberFormat="1" applyFont="1" applyBorder="1" applyAlignment="1">
      <alignment horizontal="center"/>
    </xf>
    <xf numFmtId="3" fontId="1" fillId="0" borderId="56" xfId="0" applyNumberFormat="1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6" xfId="0" applyFont="1" applyBorder="1" applyAlignment="1">
      <alignment horizontal="right"/>
    </xf>
    <xf numFmtId="0" fontId="1" fillId="0" borderId="36" xfId="0" applyFont="1" applyBorder="1" applyAlignment="1">
      <alignment horizontal="center"/>
    </xf>
    <xf numFmtId="0" fontId="1" fillId="0" borderId="36" xfId="0" applyFont="1" applyBorder="1"/>
    <xf numFmtId="0" fontId="9" fillId="0" borderId="36" xfId="0" applyFont="1" applyBorder="1" applyAlignment="1">
      <alignment horizontal="center"/>
    </xf>
    <xf numFmtId="0" fontId="9" fillId="0" borderId="36" xfId="0" applyFont="1" applyBorder="1"/>
    <xf numFmtId="0" fontId="9" fillId="0" borderId="5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3" fillId="2" borderId="4" xfId="2" applyNumberFormat="1" applyFont="1" applyFill="1" applyBorder="1" applyAlignment="1">
      <alignment horizontal="center"/>
    </xf>
    <xf numFmtId="0" fontId="15" fillId="2" borderId="4" xfId="2" applyNumberFormat="1" applyFont="1" applyFill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0" fontId="2" fillId="0" borderId="4" xfId="0" applyFont="1" applyBorder="1"/>
    <xf numFmtId="0" fontId="16" fillId="0" borderId="4" xfId="0" applyFont="1" applyBorder="1"/>
    <xf numFmtId="0" fontId="16" fillId="0" borderId="54" xfId="0" applyFont="1" applyBorder="1"/>
    <xf numFmtId="0" fontId="16" fillId="0" borderId="3" xfId="0" applyFont="1" applyBorder="1"/>
    <xf numFmtId="1" fontId="16" fillId="0" borderId="4" xfId="0" applyNumberFormat="1" applyFont="1" applyBorder="1"/>
    <xf numFmtId="0" fontId="16" fillId="0" borderId="5" xfId="0" applyFont="1" applyBorder="1"/>
    <xf numFmtId="1" fontId="14" fillId="0" borderId="25" xfId="2" applyNumberFormat="1" applyFont="1" applyBorder="1" applyAlignment="1">
      <alignment horizontal="center"/>
    </xf>
    <xf numFmtId="1" fontId="3" fillId="0" borderId="4" xfId="2" applyNumberFormat="1" applyFont="1" applyBorder="1" applyAlignment="1">
      <alignment horizontal="center"/>
    </xf>
    <xf numFmtId="1" fontId="14" fillId="0" borderId="2" xfId="2" applyNumberFormat="1" applyFont="1" applyBorder="1" applyAlignment="1">
      <alignment horizontal="center"/>
    </xf>
    <xf numFmtId="1" fontId="3" fillId="0" borderId="5" xfId="2" applyNumberFormat="1" applyFont="1" applyBorder="1" applyAlignment="1">
      <alignment horizontal="center"/>
    </xf>
    <xf numFmtId="9" fontId="3" fillId="2" borderId="28" xfId="2" applyFont="1" applyFill="1" applyBorder="1" applyAlignment="1">
      <alignment horizontal="center"/>
    </xf>
    <xf numFmtId="9" fontId="6" fillId="2" borderId="37" xfId="0" applyNumberFormat="1" applyFont="1" applyFill="1" applyBorder="1" applyAlignment="1">
      <alignment horizontal="center"/>
    </xf>
    <xf numFmtId="1" fontId="6" fillId="2" borderId="37" xfId="0" applyNumberFormat="1" applyFont="1" applyFill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9" fontId="6" fillId="2" borderId="28" xfId="0" applyNumberFormat="1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/>
    </xf>
    <xf numFmtId="1" fontId="15" fillId="0" borderId="28" xfId="0" applyNumberFormat="1" applyFont="1" applyBorder="1" applyAlignment="1">
      <alignment horizontal="center"/>
    </xf>
    <xf numFmtId="9" fontId="15" fillId="2" borderId="28" xfId="2" applyFont="1" applyFill="1" applyBorder="1" applyAlignment="1">
      <alignment horizontal="center"/>
    </xf>
    <xf numFmtId="0" fontId="15" fillId="0" borderId="28" xfId="0" applyFont="1" applyBorder="1" applyAlignment="1">
      <alignment horizontal="center"/>
    </xf>
    <xf numFmtId="3" fontId="1" fillId="0" borderId="25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3" fontId="1" fillId="0" borderId="6" xfId="0" applyNumberFormat="1" applyFont="1" applyBorder="1" applyAlignment="1">
      <alignment horizontal="right"/>
    </xf>
    <xf numFmtId="3" fontId="1" fillId="0" borderId="17" xfId="0" applyNumberFormat="1" applyFont="1" applyBorder="1" applyAlignment="1">
      <alignment horizontal="right"/>
    </xf>
    <xf numFmtId="3" fontId="1" fillId="0" borderId="37" xfId="0" applyNumberFormat="1" applyFont="1" applyBorder="1" applyAlignment="1">
      <alignment horizontal="right"/>
    </xf>
    <xf numFmtId="3" fontId="1" fillId="0" borderId="25" xfId="0" applyNumberFormat="1" applyFont="1" applyBorder="1" applyAlignment="1">
      <alignment horizontal="right"/>
    </xf>
    <xf numFmtId="3" fontId="1" fillId="4" borderId="25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57" xfId="0" applyNumberFormat="1" applyFont="1" applyBorder="1" applyAlignment="1">
      <alignment horizontal="center"/>
    </xf>
    <xf numFmtId="3" fontId="1" fillId="0" borderId="3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28" xfId="0" applyNumberFormat="1" applyFont="1" applyBorder="1" applyAlignment="1">
      <alignment horizontal="center"/>
    </xf>
    <xf numFmtId="16" fontId="24" fillId="0" borderId="25" xfId="0" applyNumberFormat="1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164" fontId="25" fillId="0" borderId="25" xfId="0" applyNumberFormat="1" applyFont="1" applyBorder="1" applyAlignment="1">
      <alignment horizontal="center" vertical="center"/>
    </xf>
    <xf numFmtId="9" fontId="25" fillId="0" borderId="25" xfId="0" applyNumberFormat="1" applyFont="1" applyBorder="1" applyAlignment="1">
      <alignment horizontal="center" vertical="center"/>
    </xf>
    <xf numFmtId="10" fontId="25" fillId="0" borderId="25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4">
    <cellStyle name="Migliaia" xfId="1" builtinId="3"/>
    <cellStyle name="Normale" xfId="0" builtinId="0"/>
    <cellStyle name="Normale 2" xfId="3" xr:uid="{2126063E-EECB-455F-8967-42DD495D1E47}"/>
    <cellStyle name="Percentuale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K76"/>
  <sheetViews>
    <sheetView tabSelected="1" zoomScale="70" zoomScaleNormal="70" workbookViewId="0">
      <pane xSplit="3" ySplit="1" topLeftCell="HE4" activePane="bottomRight" state="frozen"/>
      <selection pane="topRight" activeCell="D1" sqref="D1"/>
      <selection pane="bottomLeft" activeCell="A2" sqref="A2"/>
      <selection pane="bottomRight" activeCell="HP31" sqref="HP31"/>
    </sheetView>
  </sheetViews>
  <sheetFormatPr defaultColWidth="9.140625" defaultRowHeight="15" x14ac:dyDescent="0.25"/>
  <cols>
    <col min="1" max="1" width="3.28515625" customWidth="1"/>
    <col min="2" max="2" width="25.28515625" bestFit="1" customWidth="1"/>
    <col min="3" max="3" width="29.140625" bestFit="1" customWidth="1"/>
    <col min="4" max="6" width="2.7109375" customWidth="1"/>
    <col min="7" max="10" width="10.42578125" customWidth="1"/>
    <col min="11" max="11" width="33.5703125" customWidth="1"/>
    <col min="12" max="25" width="10.42578125" customWidth="1"/>
    <col min="26" max="26" width="25.28515625" customWidth="1"/>
    <col min="27" max="38" width="10.42578125" customWidth="1"/>
    <col min="39" max="39" width="39.85546875" customWidth="1"/>
    <col min="40" max="40" width="21.5703125" customWidth="1"/>
    <col min="41" max="42" width="10.42578125" customWidth="1"/>
    <col min="43" max="43" width="24.28515625" customWidth="1"/>
    <col min="44" max="45" width="10.42578125" customWidth="1"/>
    <col min="46" max="46" width="19" customWidth="1"/>
    <col min="47" max="47" width="29.140625" customWidth="1"/>
    <col min="48" max="52" width="10.42578125" customWidth="1"/>
    <col min="53" max="53" width="21.42578125" customWidth="1"/>
    <col min="54" max="57" width="10.42578125" customWidth="1"/>
    <col min="58" max="58" width="31.140625" customWidth="1"/>
    <col min="59" max="64" width="10.42578125" customWidth="1"/>
    <col min="65" max="65" width="12.7109375" customWidth="1"/>
    <col min="66" max="71" width="10.42578125" customWidth="1"/>
    <col min="72" max="72" width="15.7109375" customWidth="1"/>
    <col min="73" max="73" width="7" customWidth="1"/>
    <col min="74" max="75" width="10.42578125" customWidth="1"/>
    <col min="76" max="76" width="31.42578125" customWidth="1"/>
    <col min="77" max="79" width="10.42578125" customWidth="1"/>
    <col min="80" max="80" width="7" customWidth="1"/>
    <col min="81" max="86" width="10.42578125" customWidth="1"/>
    <col min="87" max="87" width="7" customWidth="1"/>
    <col min="88" max="93" width="10.42578125" customWidth="1"/>
    <col min="94" max="94" width="7" customWidth="1"/>
    <col min="95" max="100" width="10.42578125" customWidth="1"/>
    <col min="101" max="101" width="7" customWidth="1"/>
    <col min="102" max="106" width="10.42578125" customWidth="1"/>
    <col min="107" max="107" width="10.7109375" customWidth="1"/>
    <col min="108" max="108" width="7" customWidth="1"/>
    <col min="109" max="113" width="10.42578125" customWidth="1"/>
    <col min="114" max="114" width="6.42578125" customWidth="1"/>
    <col min="115" max="115" width="7" customWidth="1"/>
    <col min="116" max="120" width="10.42578125" customWidth="1"/>
    <col min="121" max="121" width="6.28515625" customWidth="1"/>
    <col min="122" max="122" width="7" customWidth="1"/>
    <col min="123" max="128" width="10.42578125" customWidth="1"/>
    <col min="129" max="129" width="7" customWidth="1"/>
    <col min="130" max="130" width="87" customWidth="1"/>
    <col min="131" max="132" width="10.42578125" customWidth="1"/>
    <col min="133" max="133" width="13.5703125" customWidth="1"/>
    <col min="134" max="136" width="10.42578125" customWidth="1"/>
    <col min="137" max="137" width="11.140625" customWidth="1"/>
    <col min="138" max="138" width="87" customWidth="1"/>
    <col min="139" max="140" width="10.42578125" customWidth="1"/>
    <col min="141" max="141" width="13.5703125" customWidth="1"/>
    <col min="142" max="144" width="10.42578125" customWidth="1"/>
    <col min="145" max="145" width="8.140625" customWidth="1"/>
    <col min="146" max="146" width="23.85546875" customWidth="1"/>
    <col min="147" max="148" width="10.42578125" customWidth="1"/>
    <col min="149" max="149" width="13.5703125" customWidth="1"/>
    <col min="150" max="152" width="10.42578125" customWidth="1"/>
    <col min="153" max="153" width="7.7109375" customWidth="1"/>
    <col min="154" max="154" width="23.85546875" customWidth="1"/>
    <col min="155" max="156" width="10.42578125" customWidth="1"/>
    <col min="157" max="157" width="13.5703125" customWidth="1"/>
    <col min="158" max="160" width="10.42578125" customWidth="1"/>
    <col min="161" max="161" width="7.7109375" customWidth="1"/>
    <col min="162" max="167" width="10.42578125" customWidth="1"/>
    <col min="168" max="168" width="7.85546875" customWidth="1"/>
    <col min="169" max="175" width="10.42578125" customWidth="1"/>
    <col min="176" max="176" width="7.7109375" customWidth="1"/>
    <col min="177" max="196" width="10.42578125" customWidth="1"/>
    <col min="197" max="197" width="7" customWidth="1"/>
    <col min="198" max="204" width="10.42578125" customWidth="1"/>
    <col min="205" max="205" width="7" customWidth="1"/>
    <col min="206" max="206" width="13.140625" customWidth="1"/>
    <col min="207" max="211" width="10.42578125" customWidth="1"/>
    <col min="212" max="212" width="7" customWidth="1"/>
    <col min="213" max="219" width="10.42578125" bestFit="1" customWidth="1"/>
  </cols>
  <sheetData>
    <row r="1" spans="2:219" ht="15.75" thickBot="1" x14ac:dyDescent="0.3">
      <c r="B1" s="14"/>
      <c r="C1" s="14"/>
      <c r="D1" s="301" t="s">
        <v>27</v>
      </c>
      <c r="E1" s="301"/>
      <c r="F1" s="301"/>
      <c r="G1" s="301"/>
      <c r="H1" s="301"/>
      <c r="I1" s="301"/>
      <c r="J1" s="301"/>
      <c r="K1" s="301" t="s">
        <v>28</v>
      </c>
      <c r="L1" s="301"/>
      <c r="M1" s="301"/>
      <c r="N1" s="301"/>
      <c r="O1" s="301"/>
      <c r="P1" s="301"/>
      <c r="Q1" s="301"/>
      <c r="R1" s="301" t="s">
        <v>29</v>
      </c>
      <c r="S1" s="301"/>
      <c r="T1" s="301"/>
      <c r="U1" s="301"/>
      <c r="V1" s="301"/>
      <c r="W1" s="301"/>
      <c r="X1" s="301"/>
      <c r="Y1" s="301" t="s">
        <v>45</v>
      </c>
      <c r="Z1" s="301"/>
      <c r="AA1" s="301"/>
      <c r="AB1" s="301"/>
      <c r="AC1" s="301"/>
      <c r="AD1" s="301"/>
      <c r="AE1" s="301"/>
      <c r="AF1" s="301" t="s">
        <v>46</v>
      </c>
      <c r="AG1" s="301"/>
      <c r="AH1" s="301"/>
      <c r="AI1" s="301"/>
      <c r="AJ1" s="301"/>
      <c r="AK1" s="301"/>
      <c r="AL1" s="301"/>
      <c r="AM1" s="301" t="s">
        <v>47</v>
      </c>
      <c r="AN1" s="301"/>
      <c r="AO1" s="301"/>
      <c r="AP1" s="301"/>
      <c r="AQ1" s="301"/>
      <c r="AR1" s="301"/>
      <c r="AS1" s="301"/>
      <c r="AT1" s="301" t="s">
        <v>48</v>
      </c>
      <c r="AU1" s="301"/>
      <c r="AV1" s="301"/>
      <c r="AW1" s="301"/>
      <c r="AX1" s="301"/>
      <c r="AY1" s="301"/>
      <c r="AZ1" s="301"/>
      <c r="BA1" s="301" t="s">
        <v>49</v>
      </c>
      <c r="BB1" s="301"/>
      <c r="BC1" s="301"/>
      <c r="BD1" s="301"/>
      <c r="BE1" s="301"/>
      <c r="BF1" s="301"/>
      <c r="BG1" s="301"/>
      <c r="BH1" s="301" t="s">
        <v>50</v>
      </c>
      <c r="BI1" s="301"/>
      <c r="BJ1" s="301"/>
      <c r="BK1" s="301"/>
      <c r="BL1" s="301"/>
      <c r="BM1" s="301"/>
      <c r="BN1" s="301"/>
      <c r="BO1" s="301" t="s">
        <v>51</v>
      </c>
      <c r="BP1" s="301"/>
      <c r="BQ1" s="301"/>
      <c r="BR1" s="301"/>
      <c r="BS1" s="301"/>
      <c r="BT1" s="301"/>
      <c r="BU1" s="301"/>
      <c r="BV1" s="301" t="s">
        <v>52</v>
      </c>
      <c r="BW1" s="301"/>
      <c r="BX1" s="301"/>
      <c r="BY1" s="301"/>
      <c r="BZ1" s="301"/>
      <c r="CA1" s="301"/>
      <c r="CB1" s="301"/>
      <c r="CC1" s="301" t="s">
        <v>53</v>
      </c>
      <c r="CD1" s="301"/>
      <c r="CE1" s="301"/>
      <c r="CF1" s="301"/>
      <c r="CG1" s="301"/>
      <c r="CH1" s="301"/>
      <c r="CI1" s="301"/>
      <c r="CJ1" s="301" t="s">
        <v>54</v>
      </c>
      <c r="CK1" s="301"/>
      <c r="CL1" s="301"/>
      <c r="CM1" s="301"/>
      <c r="CN1" s="301"/>
      <c r="CO1" s="301"/>
      <c r="CP1" s="301"/>
      <c r="CQ1" s="301" t="s">
        <v>111</v>
      </c>
      <c r="CR1" s="301"/>
      <c r="CS1" s="301"/>
      <c r="CT1" s="301"/>
      <c r="CU1" s="301"/>
      <c r="CV1" s="301"/>
      <c r="CW1" s="301"/>
      <c r="CX1" s="301" t="s">
        <v>112</v>
      </c>
      <c r="CY1" s="301"/>
      <c r="CZ1" s="301"/>
      <c r="DA1" s="301"/>
      <c r="DB1" s="301"/>
      <c r="DC1" s="301"/>
      <c r="DD1" s="301"/>
      <c r="DE1" s="301" t="s">
        <v>117</v>
      </c>
      <c r="DF1" s="301"/>
      <c r="DG1" s="301"/>
      <c r="DH1" s="301"/>
      <c r="DI1" s="301"/>
      <c r="DJ1" s="301"/>
      <c r="DK1" s="301"/>
      <c r="DL1" s="301" t="s">
        <v>118</v>
      </c>
      <c r="DM1" s="301"/>
      <c r="DN1" s="301"/>
      <c r="DO1" s="301"/>
      <c r="DP1" s="301"/>
      <c r="DQ1" s="301"/>
      <c r="DR1" s="301"/>
      <c r="DS1" s="301" t="s">
        <v>119</v>
      </c>
      <c r="DT1" s="301"/>
      <c r="DU1" s="301"/>
      <c r="DV1" s="301"/>
      <c r="DW1" s="301"/>
      <c r="DX1" s="301"/>
      <c r="DY1" s="301"/>
      <c r="DZ1" s="301" t="s">
        <v>120</v>
      </c>
      <c r="EA1" s="301"/>
      <c r="EB1" s="301"/>
      <c r="EC1" s="301"/>
      <c r="ED1" s="301"/>
      <c r="EE1" s="301"/>
      <c r="EF1" s="301"/>
      <c r="EG1" s="301"/>
      <c r="EH1" s="301" t="s">
        <v>121</v>
      </c>
      <c r="EI1" s="301"/>
      <c r="EJ1" s="301"/>
      <c r="EK1" s="301"/>
      <c r="EL1" s="301"/>
      <c r="EM1" s="301"/>
      <c r="EN1" s="301"/>
      <c r="EO1" s="301"/>
      <c r="EP1" s="301" t="s">
        <v>122</v>
      </c>
      <c r="EQ1" s="301"/>
      <c r="ER1" s="301"/>
      <c r="ES1" s="301"/>
      <c r="ET1" s="301"/>
      <c r="EU1" s="301"/>
      <c r="EV1" s="301"/>
      <c r="EW1" s="125"/>
      <c r="EX1" s="301" t="s">
        <v>132</v>
      </c>
      <c r="EY1" s="301"/>
      <c r="EZ1" s="301"/>
      <c r="FA1" s="301"/>
      <c r="FB1" s="301"/>
      <c r="FC1" s="301"/>
      <c r="FD1" s="301"/>
      <c r="FE1" s="125"/>
      <c r="FF1" s="301" t="s">
        <v>133</v>
      </c>
      <c r="FG1" s="301"/>
      <c r="FH1" s="301"/>
      <c r="FI1" s="301"/>
      <c r="FJ1" s="301"/>
      <c r="FK1" s="301"/>
      <c r="FL1" s="301"/>
      <c r="FM1" s="301" t="s">
        <v>134</v>
      </c>
      <c r="FN1" s="301"/>
      <c r="FO1" s="301"/>
      <c r="FP1" s="301"/>
      <c r="FQ1" s="301"/>
      <c r="FR1" s="301"/>
      <c r="FS1" s="301"/>
      <c r="FT1" s="125"/>
      <c r="FU1" s="301" t="s">
        <v>135</v>
      </c>
      <c r="FV1" s="301"/>
      <c r="FW1" s="301"/>
      <c r="FX1" s="301"/>
      <c r="FY1" s="301"/>
      <c r="FZ1" s="301"/>
      <c r="GA1" s="301"/>
      <c r="GB1" s="301" t="s">
        <v>136</v>
      </c>
      <c r="GC1" s="301"/>
      <c r="GD1" s="301"/>
      <c r="GE1" s="301"/>
      <c r="GF1" s="301"/>
      <c r="GG1" s="301"/>
      <c r="GH1" s="301"/>
      <c r="GI1" s="301" t="s">
        <v>137</v>
      </c>
      <c r="GJ1" s="301"/>
      <c r="GK1" s="301"/>
      <c r="GL1" s="301"/>
      <c r="GM1" s="301"/>
      <c r="GN1" s="301"/>
      <c r="GO1" s="301"/>
      <c r="GP1" s="301" t="s">
        <v>138</v>
      </c>
      <c r="GQ1" s="301"/>
      <c r="GR1" s="301"/>
      <c r="GS1" s="301"/>
      <c r="GT1" s="301"/>
      <c r="GU1" s="301"/>
      <c r="GV1" s="301"/>
      <c r="GW1" s="191"/>
      <c r="GX1" s="301" t="s">
        <v>139</v>
      </c>
      <c r="GY1" s="301"/>
      <c r="GZ1" s="301"/>
      <c r="HA1" s="301"/>
      <c r="HB1" s="301"/>
      <c r="HC1" s="301"/>
      <c r="HD1" s="301"/>
      <c r="HE1" s="301" t="s">
        <v>140</v>
      </c>
      <c r="HF1" s="301"/>
      <c r="HG1" s="301"/>
      <c r="HH1" s="301"/>
      <c r="HI1" s="301"/>
      <c r="HJ1" s="301"/>
      <c r="HK1" s="301"/>
    </row>
    <row r="2" spans="2:219" s="8" customFormat="1" ht="13.5" thickBot="1" x14ac:dyDescent="0.25">
      <c r="B2" s="126"/>
      <c r="C2" s="126"/>
      <c r="D2" s="127"/>
      <c r="E2" s="127"/>
      <c r="F2" s="127"/>
      <c r="G2" s="127">
        <v>45658</v>
      </c>
      <c r="H2" s="127">
        <v>45659</v>
      </c>
      <c r="I2" s="127">
        <v>45660</v>
      </c>
      <c r="J2" s="127">
        <v>45661</v>
      </c>
      <c r="K2" s="127">
        <v>45662</v>
      </c>
      <c r="L2" s="127">
        <v>45663</v>
      </c>
      <c r="M2" s="127">
        <v>45664</v>
      </c>
      <c r="N2" s="127">
        <v>45665</v>
      </c>
      <c r="O2" s="127">
        <v>45666</v>
      </c>
      <c r="P2" s="127">
        <v>45667</v>
      </c>
      <c r="Q2" s="127">
        <v>45668</v>
      </c>
      <c r="R2" s="127">
        <v>45669</v>
      </c>
      <c r="S2" s="127">
        <v>45670</v>
      </c>
      <c r="T2" s="127">
        <v>45671</v>
      </c>
      <c r="U2" s="127">
        <v>45672</v>
      </c>
      <c r="V2" s="127">
        <v>45673</v>
      </c>
      <c r="W2" s="127">
        <v>45674</v>
      </c>
      <c r="X2" s="127">
        <v>45675</v>
      </c>
      <c r="Y2" s="127">
        <v>45676</v>
      </c>
      <c r="Z2" s="127">
        <v>45677</v>
      </c>
      <c r="AA2" s="127">
        <v>45678</v>
      </c>
      <c r="AB2" s="127">
        <v>45679</v>
      </c>
      <c r="AC2" s="127">
        <v>45680</v>
      </c>
      <c r="AD2" s="127">
        <v>45681</v>
      </c>
      <c r="AE2" s="127">
        <v>45682</v>
      </c>
      <c r="AF2" s="127">
        <v>45683</v>
      </c>
      <c r="AG2" s="127">
        <v>45684</v>
      </c>
      <c r="AH2" s="127">
        <v>45685</v>
      </c>
      <c r="AI2" s="127">
        <v>45686</v>
      </c>
      <c r="AJ2" s="127">
        <v>45687</v>
      </c>
      <c r="AK2" s="127">
        <v>45688</v>
      </c>
      <c r="AL2" s="127">
        <v>45689</v>
      </c>
      <c r="AM2" s="127">
        <v>45690</v>
      </c>
      <c r="AN2" s="127">
        <v>45691</v>
      </c>
      <c r="AO2" s="127">
        <v>45692</v>
      </c>
      <c r="AP2" s="127">
        <v>45693</v>
      </c>
      <c r="AQ2" s="127">
        <v>45694</v>
      </c>
      <c r="AR2" s="127">
        <v>45695</v>
      </c>
      <c r="AS2" s="127">
        <v>45696</v>
      </c>
      <c r="AT2" s="127">
        <v>45697</v>
      </c>
      <c r="AU2" s="127">
        <v>45698</v>
      </c>
      <c r="AV2" s="127">
        <v>45699</v>
      </c>
      <c r="AW2" s="127">
        <v>45700</v>
      </c>
      <c r="AX2" s="127">
        <v>45701</v>
      </c>
      <c r="AY2" s="127">
        <v>45702</v>
      </c>
      <c r="AZ2" s="127">
        <v>45703</v>
      </c>
      <c r="BA2" s="127">
        <v>45704</v>
      </c>
      <c r="BB2" s="127">
        <v>45705</v>
      </c>
      <c r="BC2" s="127">
        <v>45706</v>
      </c>
      <c r="BD2" s="127">
        <v>45707</v>
      </c>
      <c r="BE2" s="127">
        <v>45708</v>
      </c>
      <c r="BF2" s="127">
        <v>45709</v>
      </c>
      <c r="BG2" s="127">
        <v>45710</v>
      </c>
      <c r="BH2" s="127">
        <v>45711</v>
      </c>
      <c r="BI2" s="127">
        <v>45712</v>
      </c>
      <c r="BJ2" s="127">
        <v>45713</v>
      </c>
      <c r="BK2" s="127">
        <v>45714</v>
      </c>
      <c r="BL2" s="127">
        <v>45715</v>
      </c>
      <c r="BM2" s="127">
        <v>45716</v>
      </c>
      <c r="BN2" s="127">
        <v>45717</v>
      </c>
      <c r="BO2" s="127">
        <v>45718</v>
      </c>
      <c r="BP2" s="127">
        <v>45719</v>
      </c>
      <c r="BQ2" s="127">
        <v>45720</v>
      </c>
      <c r="BR2" s="127">
        <v>45721</v>
      </c>
      <c r="BS2" s="127">
        <v>45722</v>
      </c>
      <c r="BT2" s="127">
        <v>45723</v>
      </c>
      <c r="BU2" s="128" t="s">
        <v>91</v>
      </c>
      <c r="BV2" s="127">
        <v>45725</v>
      </c>
      <c r="BW2" s="127">
        <v>45726</v>
      </c>
      <c r="BX2" s="127">
        <v>45727</v>
      </c>
      <c r="BY2" s="127">
        <v>45728</v>
      </c>
      <c r="BZ2" s="127">
        <v>45729</v>
      </c>
      <c r="CA2" s="127">
        <v>45730</v>
      </c>
      <c r="CB2" s="127" t="s">
        <v>91</v>
      </c>
      <c r="CC2" s="127">
        <v>45732</v>
      </c>
      <c r="CD2" s="127">
        <v>45733</v>
      </c>
      <c r="CE2" s="127">
        <v>45734</v>
      </c>
      <c r="CF2" s="127">
        <v>45735</v>
      </c>
      <c r="CG2" s="127">
        <v>45736</v>
      </c>
      <c r="CH2" s="127">
        <v>45737</v>
      </c>
      <c r="CI2" s="128" t="s">
        <v>91</v>
      </c>
      <c r="CJ2" s="127">
        <v>45739</v>
      </c>
      <c r="CK2" s="127">
        <v>45740</v>
      </c>
      <c r="CL2" s="127">
        <v>45741</v>
      </c>
      <c r="CM2" s="127">
        <v>45742</v>
      </c>
      <c r="CN2" s="127">
        <v>45743</v>
      </c>
      <c r="CO2" s="127">
        <v>45744</v>
      </c>
      <c r="CP2" s="128" t="s">
        <v>91</v>
      </c>
      <c r="CQ2" s="127">
        <v>45746</v>
      </c>
      <c r="CR2" s="127">
        <v>45747</v>
      </c>
      <c r="CS2" s="127">
        <v>45748</v>
      </c>
      <c r="CT2" s="127">
        <v>45749</v>
      </c>
      <c r="CU2" s="127">
        <v>45750</v>
      </c>
      <c r="CV2" s="127">
        <v>45751</v>
      </c>
      <c r="CW2" s="128" t="s">
        <v>91</v>
      </c>
      <c r="CX2" s="127">
        <v>45753</v>
      </c>
      <c r="CY2" s="127">
        <v>45754</v>
      </c>
      <c r="CZ2" s="127">
        <v>45755</v>
      </c>
      <c r="DA2" s="127">
        <v>45756</v>
      </c>
      <c r="DB2" s="127">
        <v>45757</v>
      </c>
      <c r="DC2" s="129" t="s">
        <v>124</v>
      </c>
      <c r="DD2" s="128" t="s">
        <v>91</v>
      </c>
      <c r="DE2" s="127">
        <v>45760</v>
      </c>
      <c r="DF2" s="127">
        <v>45761</v>
      </c>
      <c r="DG2" s="127">
        <v>45762</v>
      </c>
      <c r="DH2" s="127">
        <v>45763</v>
      </c>
      <c r="DI2" s="127">
        <v>45764</v>
      </c>
      <c r="DJ2" s="127" t="s">
        <v>125</v>
      </c>
      <c r="DK2" s="127" t="s">
        <v>126</v>
      </c>
      <c r="DL2" s="127">
        <v>45767</v>
      </c>
      <c r="DM2" s="127">
        <v>45768</v>
      </c>
      <c r="DN2" s="127">
        <v>45769</v>
      </c>
      <c r="DO2" s="127">
        <v>45770</v>
      </c>
      <c r="DP2" s="127">
        <v>45771</v>
      </c>
      <c r="DQ2" s="128" t="s">
        <v>125</v>
      </c>
      <c r="DR2" s="128" t="s">
        <v>91</v>
      </c>
      <c r="DS2" s="127">
        <v>45774</v>
      </c>
      <c r="DT2" s="127">
        <v>45775</v>
      </c>
      <c r="DU2" s="127">
        <v>45776</v>
      </c>
      <c r="DV2" s="127">
        <v>45777</v>
      </c>
      <c r="DW2" s="127">
        <v>45778</v>
      </c>
      <c r="DX2" s="127">
        <v>45779</v>
      </c>
      <c r="DY2" s="128" t="s">
        <v>91</v>
      </c>
      <c r="DZ2" s="127">
        <v>45781</v>
      </c>
      <c r="EA2" s="127">
        <v>45782</v>
      </c>
      <c r="EB2" s="127">
        <v>45783</v>
      </c>
      <c r="EC2" s="127">
        <v>45784</v>
      </c>
      <c r="ED2" s="127">
        <v>45785</v>
      </c>
      <c r="EE2" s="127">
        <v>45786</v>
      </c>
      <c r="EF2" s="127">
        <v>45787</v>
      </c>
      <c r="EG2" s="130" t="s">
        <v>120</v>
      </c>
      <c r="EH2" s="127">
        <v>45788</v>
      </c>
      <c r="EI2" s="127">
        <v>45789</v>
      </c>
      <c r="EJ2" s="127">
        <v>45790</v>
      </c>
      <c r="EK2" s="127">
        <v>45791</v>
      </c>
      <c r="EL2" s="127">
        <v>45792</v>
      </c>
      <c r="EM2" s="127">
        <v>45793</v>
      </c>
      <c r="EN2" s="127">
        <v>45794</v>
      </c>
      <c r="EO2" s="130" t="s">
        <v>121</v>
      </c>
      <c r="EP2" s="127">
        <v>45795</v>
      </c>
      <c r="EQ2" s="127">
        <v>45796</v>
      </c>
      <c r="ER2" s="127">
        <v>45797</v>
      </c>
      <c r="ES2" s="127">
        <v>45798</v>
      </c>
      <c r="ET2" s="127">
        <v>45799</v>
      </c>
      <c r="EU2" s="127">
        <v>45800</v>
      </c>
      <c r="EV2" s="127">
        <v>45801</v>
      </c>
      <c r="EW2" s="130" t="s">
        <v>122</v>
      </c>
      <c r="EX2" s="127">
        <v>45802</v>
      </c>
      <c r="EY2" s="127">
        <v>45803</v>
      </c>
      <c r="EZ2" s="127">
        <v>45804</v>
      </c>
      <c r="FA2" s="127">
        <v>45805</v>
      </c>
      <c r="FB2" s="127">
        <v>45806</v>
      </c>
      <c r="FC2" s="127">
        <v>45807</v>
      </c>
      <c r="FD2" s="127">
        <v>45808</v>
      </c>
      <c r="FE2" s="130" t="s">
        <v>132</v>
      </c>
      <c r="FF2" s="127">
        <v>45809</v>
      </c>
      <c r="FG2" s="127">
        <v>45810</v>
      </c>
      <c r="FH2" s="127">
        <v>45811</v>
      </c>
      <c r="FI2" s="127">
        <v>45812</v>
      </c>
      <c r="FJ2" s="127">
        <v>45813</v>
      </c>
      <c r="FK2" s="127">
        <v>45814</v>
      </c>
      <c r="FL2" s="128" t="s">
        <v>178</v>
      </c>
      <c r="FM2" s="127">
        <v>45816</v>
      </c>
      <c r="FN2" s="127">
        <v>45817</v>
      </c>
      <c r="FO2" s="127">
        <v>45818</v>
      </c>
      <c r="FP2" s="127">
        <v>45819</v>
      </c>
      <c r="FQ2" s="127">
        <v>45820</v>
      </c>
      <c r="FR2" s="127">
        <v>45821</v>
      </c>
      <c r="FS2" s="127">
        <v>45822</v>
      </c>
      <c r="FT2" s="130" t="s">
        <v>134</v>
      </c>
      <c r="FU2" s="127">
        <v>45823</v>
      </c>
      <c r="FV2" s="127">
        <v>45824</v>
      </c>
      <c r="FW2" s="127">
        <v>45825</v>
      </c>
      <c r="FX2" s="127">
        <v>45826</v>
      </c>
      <c r="FY2" s="127">
        <v>45827</v>
      </c>
      <c r="FZ2" s="127">
        <v>45828</v>
      </c>
      <c r="GA2" s="127">
        <v>45829</v>
      </c>
      <c r="GB2" s="127">
        <v>45830</v>
      </c>
      <c r="GC2" s="127">
        <v>45831</v>
      </c>
      <c r="GD2" s="127">
        <v>45832</v>
      </c>
      <c r="GE2" s="127">
        <v>45833</v>
      </c>
      <c r="GF2" s="127">
        <v>45834</v>
      </c>
      <c r="GG2" s="127">
        <v>45835</v>
      </c>
      <c r="GH2" s="127">
        <v>45836</v>
      </c>
      <c r="GI2" s="127">
        <v>45837</v>
      </c>
      <c r="GJ2" s="127">
        <v>45838</v>
      </c>
      <c r="GK2" s="127">
        <v>45839</v>
      </c>
      <c r="GL2" s="127">
        <v>45840</v>
      </c>
      <c r="GM2" s="127">
        <v>45841</v>
      </c>
      <c r="GN2" s="127">
        <v>45842</v>
      </c>
      <c r="GO2" s="128" t="s">
        <v>91</v>
      </c>
      <c r="GP2" s="127">
        <v>45844</v>
      </c>
      <c r="GQ2" s="127">
        <v>45845</v>
      </c>
      <c r="GR2" s="127">
        <v>45846</v>
      </c>
      <c r="GS2" s="127">
        <v>45847</v>
      </c>
      <c r="GT2" s="127">
        <v>45848</v>
      </c>
      <c r="GU2" s="127">
        <v>45849</v>
      </c>
      <c r="GV2" s="127">
        <v>45850</v>
      </c>
      <c r="GW2" s="192" t="s">
        <v>91</v>
      </c>
      <c r="GX2" s="127">
        <v>45851</v>
      </c>
      <c r="GY2" s="127">
        <v>45852</v>
      </c>
      <c r="GZ2" s="127">
        <v>45853</v>
      </c>
      <c r="HA2" s="127">
        <v>45854</v>
      </c>
      <c r="HB2" s="127">
        <v>45855</v>
      </c>
      <c r="HC2" s="127">
        <v>45856</v>
      </c>
      <c r="HD2" s="128" t="s">
        <v>91</v>
      </c>
      <c r="HE2" s="127">
        <v>45858</v>
      </c>
      <c r="HF2" s="127">
        <v>45859</v>
      </c>
      <c r="HG2" s="127">
        <v>45860</v>
      </c>
      <c r="HH2" s="127">
        <v>45861</v>
      </c>
      <c r="HI2" s="127">
        <v>45862</v>
      </c>
      <c r="HJ2" s="127">
        <v>45863</v>
      </c>
      <c r="HK2" s="127">
        <v>45864</v>
      </c>
    </row>
    <row r="3" spans="2:219" ht="15" customHeight="1" thickBot="1" x14ac:dyDescent="0.3">
      <c r="B3" s="322" t="s">
        <v>0</v>
      </c>
      <c r="C3" s="131" t="s">
        <v>4</v>
      </c>
      <c r="D3" s="148"/>
      <c r="E3" s="65"/>
      <c r="F3" s="65"/>
      <c r="G3" s="65"/>
      <c r="H3" s="65"/>
      <c r="I3" s="65"/>
      <c r="J3" s="65"/>
      <c r="K3" s="66">
        <v>7</v>
      </c>
      <c r="L3" s="66">
        <v>0</v>
      </c>
      <c r="M3" s="66">
        <v>185</v>
      </c>
      <c r="N3" s="66">
        <v>187</v>
      </c>
      <c r="O3" s="66">
        <v>196</v>
      </c>
      <c r="P3" s="66"/>
      <c r="Q3" s="66"/>
      <c r="R3" s="66">
        <v>205</v>
      </c>
      <c r="S3" s="66">
        <v>211</v>
      </c>
      <c r="T3" s="66">
        <v>215</v>
      </c>
      <c r="U3" s="66">
        <v>212</v>
      </c>
      <c r="V3" s="66">
        <v>192</v>
      </c>
      <c r="W3" s="66"/>
      <c r="X3" s="66"/>
      <c r="Y3" s="66">
        <v>203</v>
      </c>
      <c r="Z3" s="66">
        <v>157</v>
      </c>
      <c r="AA3" s="66">
        <v>194</v>
      </c>
      <c r="AB3" s="66">
        <v>190</v>
      </c>
      <c r="AC3" s="66">
        <v>195</v>
      </c>
      <c r="AD3" s="66">
        <v>150</v>
      </c>
      <c r="AE3" s="66"/>
      <c r="AF3" s="66">
        <v>186</v>
      </c>
      <c r="AG3" s="66">
        <v>191</v>
      </c>
      <c r="AH3" s="66">
        <v>187</v>
      </c>
      <c r="AI3" s="66">
        <v>201</v>
      </c>
      <c r="AJ3" s="66">
        <v>170</v>
      </c>
      <c r="AK3" s="66">
        <v>73</v>
      </c>
      <c r="AL3" s="66"/>
      <c r="AM3" s="66">
        <v>59</v>
      </c>
      <c r="AN3" s="66">
        <v>163</v>
      </c>
      <c r="AO3" s="66">
        <v>188</v>
      </c>
      <c r="AP3" s="66">
        <v>185</v>
      </c>
      <c r="AQ3" s="66">
        <v>149</v>
      </c>
      <c r="AR3" s="66"/>
      <c r="AS3" s="66"/>
      <c r="AT3" s="66">
        <v>171</v>
      </c>
      <c r="AU3" s="66">
        <v>137</v>
      </c>
      <c r="AV3" s="66">
        <v>189</v>
      </c>
      <c r="AW3" s="66">
        <v>178</v>
      </c>
      <c r="AX3" s="66">
        <v>186</v>
      </c>
      <c r="AY3" s="66"/>
      <c r="AZ3" s="66"/>
      <c r="BA3" s="66">
        <v>142</v>
      </c>
      <c r="BB3" s="66">
        <v>164</v>
      </c>
      <c r="BC3" s="66">
        <v>182</v>
      </c>
      <c r="BD3" s="66">
        <v>178</v>
      </c>
      <c r="BE3" s="66">
        <v>188</v>
      </c>
      <c r="BF3" s="66">
        <v>118</v>
      </c>
      <c r="BG3" s="66"/>
      <c r="BH3" s="66">
        <v>184</v>
      </c>
      <c r="BI3" s="66">
        <v>178</v>
      </c>
      <c r="BJ3" s="66">
        <v>172</v>
      </c>
      <c r="BK3" s="66">
        <v>175</v>
      </c>
      <c r="BL3" s="66">
        <v>172</v>
      </c>
      <c r="BM3" s="66">
        <v>27</v>
      </c>
      <c r="BN3" s="66"/>
      <c r="BO3" s="66">
        <v>165</v>
      </c>
      <c r="BP3" s="66">
        <v>168</v>
      </c>
      <c r="BQ3" s="66">
        <v>175</v>
      </c>
      <c r="BR3" s="66">
        <v>133</v>
      </c>
      <c r="BS3" s="66">
        <v>171</v>
      </c>
      <c r="BT3" s="66">
        <v>55</v>
      </c>
      <c r="BU3" s="149">
        <f>BO3+BP3+BQ3+BR3+BS3+BT3</f>
        <v>867</v>
      </c>
      <c r="BV3" s="66">
        <v>158</v>
      </c>
      <c r="BW3" s="66">
        <v>143</v>
      </c>
      <c r="BX3" s="66">
        <v>133</v>
      </c>
      <c r="BY3" s="66">
        <v>157</v>
      </c>
      <c r="BZ3" s="66">
        <v>181</v>
      </c>
      <c r="CA3" s="66">
        <v>121</v>
      </c>
      <c r="CB3" s="149">
        <f>BV3+BW3+BX3+BY3+BZ3+CA3</f>
        <v>893</v>
      </c>
      <c r="CC3" s="66">
        <v>168</v>
      </c>
      <c r="CD3" s="66">
        <v>168</v>
      </c>
      <c r="CE3" s="66">
        <v>154</v>
      </c>
      <c r="CF3" s="66">
        <v>178</v>
      </c>
      <c r="CG3" s="66">
        <v>173</v>
      </c>
      <c r="CH3" s="66">
        <v>157</v>
      </c>
      <c r="CI3" s="66">
        <f>CC3+CD3+CE3+CF3+CG3+CH3</f>
        <v>998</v>
      </c>
      <c r="CJ3" s="66">
        <v>156</v>
      </c>
      <c r="CK3" s="66">
        <v>166</v>
      </c>
      <c r="CL3" s="66">
        <v>184</v>
      </c>
      <c r="CM3" s="66">
        <v>180</v>
      </c>
      <c r="CN3" s="66">
        <v>173</v>
      </c>
      <c r="CO3" s="66">
        <v>78</v>
      </c>
      <c r="CP3" s="66">
        <f>CJ3+CK3+CL3+CM3+CN3+CO3</f>
        <v>937</v>
      </c>
      <c r="CQ3" s="66">
        <v>200</v>
      </c>
      <c r="CR3" s="66">
        <v>202</v>
      </c>
      <c r="CS3" s="66">
        <v>212</v>
      </c>
      <c r="CT3" s="66">
        <v>196</v>
      </c>
      <c r="CU3" s="66">
        <v>199</v>
      </c>
      <c r="CV3" s="66"/>
      <c r="CW3" s="66">
        <f>CQ3+CR3+CS3+CT3+CU3+CV3</f>
        <v>1009</v>
      </c>
      <c r="CX3" s="66"/>
      <c r="CY3" s="66">
        <v>194</v>
      </c>
      <c r="CZ3" s="66">
        <v>211</v>
      </c>
      <c r="DA3" s="66">
        <v>162</v>
      </c>
      <c r="DB3" s="66">
        <v>184</v>
      </c>
      <c r="DC3" s="66">
        <v>87</v>
      </c>
      <c r="DD3" s="66">
        <f>CX3+CY3+CZ3+DA3+DB3+DC3</f>
        <v>838</v>
      </c>
      <c r="DE3" s="66">
        <v>191</v>
      </c>
      <c r="DF3" s="82">
        <v>201</v>
      </c>
      <c r="DG3" s="82">
        <v>180</v>
      </c>
      <c r="DH3" s="82">
        <v>208</v>
      </c>
      <c r="DI3" s="82">
        <v>206</v>
      </c>
      <c r="DJ3" s="82"/>
      <c r="DK3" s="66">
        <f>DE3+DF3+DG3+DH3+DI3+DJ3</f>
        <v>986</v>
      </c>
      <c r="DL3" s="82">
        <v>188</v>
      </c>
      <c r="DM3" s="66">
        <v>207</v>
      </c>
      <c r="DN3" s="66">
        <v>199</v>
      </c>
      <c r="DO3" s="66">
        <v>169</v>
      </c>
      <c r="DP3" s="66">
        <v>189</v>
      </c>
      <c r="DQ3" s="66"/>
      <c r="DR3" s="66">
        <f>DL3+DM3+DN3+DO3+DP3+DQ3</f>
        <v>952</v>
      </c>
      <c r="DS3" s="66">
        <v>215</v>
      </c>
      <c r="DT3" s="66">
        <v>215</v>
      </c>
      <c r="DU3" s="66">
        <v>215</v>
      </c>
      <c r="DV3" s="66">
        <v>215</v>
      </c>
      <c r="DW3" s="66"/>
      <c r="DX3" s="66"/>
      <c r="DY3" s="66">
        <f>DS3+DT3+DU3+DV3+DW3+DX3</f>
        <v>860</v>
      </c>
      <c r="DZ3" s="66">
        <v>193</v>
      </c>
      <c r="EA3" s="66">
        <v>208</v>
      </c>
      <c r="EB3" s="66">
        <v>208</v>
      </c>
      <c r="EC3" s="66">
        <v>204</v>
      </c>
      <c r="ED3" s="66">
        <v>173</v>
      </c>
      <c r="EE3" s="66"/>
      <c r="EF3" s="66"/>
      <c r="EG3" s="66">
        <f>DZ3+EA3+EB3+EC3+ED3+EE3</f>
        <v>986</v>
      </c>
      <c r="EH3" s="66">
        <v>203</v>
      </c>
      <c r="EI3" s="66">
        <v>212</v>
      </c>
      <c r="EJ3" s="66">
        <v>200</v>
      </c>
      <c r="EK3" s="66">
        <v>190</v>
      </c>
      <c r="EL3" s="66">
        <v>215</v>
      </c>
      <c r="EM3" s="66"/>
      <c r="EN3" s="66"/>
      <c r="EO3" s="66">
        <f>EI3+EJ3+EK3+EL3+EM3+EN3+EH3</f>
        <v>1020</v>
      </c>
      <c r="EP3" s="66">
        <v>192</v>
      </c>
      <c r="EQ3" s="66">
        <v>200</v>
      </c>
      <c r="ER3" s="66">
        <v>204</v>
      </c>
      <c r="ES3" s="66">
        <v>206</v>
      </c>
      <c r="ET3" s="66">
        <v>205</v>
      </c>
      <c r="EU3" s="66"/>
      <c r="EV3" s="66"/>
      <c r="EW3" s="66">
        <f>EQ3+ER3+ES3+ET3+EU3+EV3+EP3</f>
        <v>1007</v>
      </c>
      <c r="EX3" s="66">
        <v>196</v>
      </c>
      <c r="EY3" s="66">
        <v>125</v>
      </c>
      <c r="EZ3" s="66">
        <v>127</v>
      </c>
      <c r="FA3" s="66">
        <v>0</v>
      </c>
      <c r="FB3" s="66">
        <v>188</v>
      </c>
      <c r="FC3" s="66"/>
      <c r="FD3" s="66"/>
      <c r="FE3" s="66">
        <f>EY3+EZ3+FA3+FB3+FC3+FD3+EX3</f>
        <v>636</v>
      </c>
      <c r="FF3" s="66"/>
      <c r="FG3" s="66"/>
      <c r="FH3" s="66">
        <v>148</v>
      </c>
      <c r="FI3" s="66">
        <v>169</v>
      </c>
      <c r="FJ3" s="66">
        <v>155</v>
      </c>
      <c r="FK3" s="66"/>
      <c r="FL3" s="66">
        <f>FF3+FG3+FH3+FI3+FJ3+FK3</f>
        <v>472</v>
      </c>
      <c r="FM3" s="66"/>
      <c r="FN3" s="66">
        <v>155</v>
      </c>
      <c r="FO3" s="66">
        <v>194</v>
      </c>
      <c r="FP3" s="66">
        <v>195</v>
      </c>
      <c r="FQ3" s="66">
        <v>167</v>
      </c>
      <c r="FR3" s="66"/>
      <c r="FS3" s="66"/>
      <c r="FT3" s="66">
        <f>FM3+FN3+FO3+FP3+FQ3+FR3</f>
        <v>711</v>
      </c>
      <c r="FU3" s="66">
        <v>184</v>
      </c>
      <c r="FV3" s="66">
        <v>189</v>
      </c>
      <c r="FW3" s="66">
        <v>174</v>
      </c>
      <c r="FX3" s="66">
        <v>171</v>
      </c>
      <c r="FY3" s="66">
        <v>155</v>
      </c>
      <c r="FZ3" s="66"/>
      <c r="GA3" s="66">
        <f>FU3+FV3+FW3+FX3+FY3+FZ3</f>
        <v>873</v>
      </c>
      <c r="GB3" s="66"/>
      <c r="GC3" s="66"/>
      <c r="GD3" s="66"/>
      <c r="GE3" s="66"/>
      <c r="GF3" s="66"/>
      <c r="GG3" s="66"/>
      <c r="GH3" s="66"/>
      <c r="GI3" s="66">
        <v>74</v>
      </c>
      <c r="GJ3" s="66">
        <v>152</v>
      </c>
      <c r="GK3" s="66">
        <v>175</v>
      </c>
      <c r="GL3" s="66">
        <v>155</v>
      </c>
      <c r="GM3" s="66">
        <v>168</v>
      </c>
      <c r="GN3" s="66"/>
      <c r="GO3" s="66">
        <f>GI3+GJ3+GK3+GL3+GM3+GN3</f>
        <v>724</v>
      </c>
      <c r="GP3" s="66"/>
      <c r="GQ3" s="66">
        <v>148</v>
      </c>
      <c r="GR3" s="66">
        <v>168</v>
      </c>
      <c r="GS3" s="66">
        <v>164</v>
      </c>
      <c r="GT3" s="66">
        <v>165</v>
      </c>
      <c r="GU3" s="66"/>
      <c r="GV3" s="66"/>
      <c r="GW3" s="193">
        <f>GQ3+GR3+GS3+GT3+GU3+GV3</f>
        <v>645</v>
      </c>
      <c r="GX3" s="213">
        <v>146</v>
      </c>
      <c r="GY3" s="66">
        <v>148</v>
      </c>
      <c r="GZ3" s="66">
        <v>152</v>
      </c>
      <c r="HA3" s="66">
        <v>146</v>
      </c>
      <c r="HB3" s="66"/>
      <c r="HC3" s="66"/>
      <c r="HD3" s="73">
        <f>GX3+GY3+GZ3+HA3+HB3+HC3</f>
        <v>592</v>
      </c>
      <c r="HE3" s="213">
        <v>165</v>
      </c>
      <c r="HF3" s="66">
        <v>146</v>
      </c>
      <c r="HG3" s="66">
        <v>151</v>
      </c>
      <c r="HH3" s="66">
        <v>182</v>
      </c>
      <c r="HI3" s="66">
        <v>175</v>
      </c>
      <c r="HJ3" s="66"/>
      <c r="HK3" s="73"/>
    </row>
    <row r="4" spans="2:219" ht="15.75" thickBot="1" x14ac:dyDescent="0.3">
      <c r="B4" s="322"/>
      <c r="C4" s="131" t="s">
        <v>5</v>
      </c>
      <c r="D4" s="150"/>
      <c r="E4" s="59"/>
      <c r="F4" s="59"/>
      <c r="G4" s="59"/>
      <c r="H4" s="59"/>
      <c r="I4" s="59"/>
      <c r="J4" s="59"/>
      <c r="K4" s="54">
        <v>0</v>
      </c>
      <c r="L4" s="54">
        <v>0</v>
      </c>
      <c r="M4" s="54">
        <v>193</v>
      </c>
      <c r="N4" s="54">
        <v>182</v>
      </c>
      <c r="O4" s="54">
        <v>194</v>
      </c>
      <c r="P4" s="54"/>
      <c r="Q4" s="54"/>
      <c r="R4" s="54">
        <v>205</v>
      </c>
      <c r="S4" s="54">
        <v>208</v>
      </c>
      <c r="T4" s="55">
        <v>209</v>
      </c>
      <c r="U4" s="54">
        <v>211</v>
      </c>
      <c r="V4" s="54">
        <v>200</v>
      </c>
      <c r="W4" s="54"/>
      <c r="X4" s="54"/>
      <c r="Y4" s="54">
        <v>197</v>
      </c>
      <c r="Z4" s="54">
        <v>164</v>
      </c>
      <c r="AA4" s="54">
        <v>196</v>
      </c>
      <c r="AB4" s="54">
        <v>185</v>
      </c>
      <c r="AC4" s="54">
        <v>203</v>
      </c>
      <c r="AD4" s="54">
        <v>151</v>
      </c>
      <c r="AE4" s="54"/>
      <c r="AF4" s="54">
        <v>184</v>
      </c>
      <c r="AG4" s="54">
        <v>183</v>
      </c>
      <c r="AH4" s="54">
        <v>197</v>
      </c>
      <c r="AI4" s="54">
        <v>192</v>
      </c>
      <c r="AJ4" s="54">
        <v>178</v>
      </c>
      <c r="AK4" s="54">
        <v>68</v>
      </c>
      <c r="AL4" s="54"/>
      <c r="AM4" s="54">
        <v>69</v>
      </c>
      <c r="AN4" s="54">
        <v>167</v>
      </c>
      <c r="AO4" s="54">
        <v>196</v>
      </c>
      <c r="AP4" s="54">
        <v>183</v>
      </c>
      <c r="AQ4" s="54">
        <v>156</v>
      </c>
      <c r="AR4" s="54"/>
      <c r="AS4" s="54"/>
      <c r="AT4" s="54">
        <v>163</v>
      </c>
      <c r="AU4" s="54">
        <v>140</v>
      </c>
      <c r="AV4" s="54">
        <v>180</v>
      </c>
      <c r="AW4" s="54">
        <v>181</v>
      </c>
      <c r="AX4" s="54">
        <v>173</v>
      </c>
      <c r="AY4" s="54"/>
      <c r="AZ4" s="54"/>
      <c r="BA4" s="54">
        <v>145</v>
      </c>
      <c r="BB4" s="54">
        <v>160</v>
      </c>
      <c r="BC4" s="54">
        <v>182</v>
      </c>
      <c r="BD4" s="54">
        <v>180</v>
      </c>
      <c r="BE4" s="54">
        <v>186</v>
      </c>
      <c r="BF4" s="54">
        <v>117</v>
      </c>
      <c r="BG4" s="54"/>
      <c r="BH4" s="54">
        <v>180</v>
      </c>
      <c r="BI4" s="54">
        <v>173</v>
      </c>
      <c r="BJ4" s="54">
        <v>175</v>
      </c>
      <c r="BK4" s="54">
        <v>181</v>
      </c>
      <c r="BL4" s="54">
        <v>176</v>
      </c>
      <c r="BM4" s="54">
        <v>25</v>
      </c>
      <c r="BN4" s="54"/>
      <c r="BO4" s="54">
        <v>168</v>
      </c>
      <c r="BP4" s="54">
        <v>163</v>
      </c>
      <c r="BQ4" s="54">
        <v>182</v>
      </c>
      <c r="BR4" s="54">
        <v>135</v>
      </c>
      <c r="BS4" s="54">
        <v>170</v>
      </c>
      <c r="BT4" s="54">
        <v>53</v>
      </c>
      <c r="BU4" s="151">
        <f>BO4+BP4+BQ4+BR4+BS4+BT4</f>
        <v>871</v>
      </c>
      <c r="BV4" s="54">
        <v>157</v>
      </c>
      <c r="BW4" s="54">
        <v>147</v>
      </c>
      <c r="BX4" s="54">
        <v>135</v>
      </c>
      <c r="BY4" s="54">
        <v>175</v>
      </c>
      <c r="BZ4" s="54">
        <v>176</v>
      </c>
      <c r="CA4" s="54">
        <v>130</v>
      </c>
      <c r="CB4" s="151">
        <f>BV4+BW4+BX4+BY4+BZ4+CA4</f>
        <v>920</v>
      </c>
      <c r="CC4" s="54">
        <v>170</v>
      </c>
      <c r="CD4" s="54">
        <v>173</v>
      </c>
      <c r="CE4" s="54">
        <v>150</v>
      </c>
      <c r="CF4" s="54">
        <v>174</v>
      </c>
      <c r="CG4" s="54">
        <v>171</v>
      </c>
      <c r="CH4" s="54">
        <v>152</v>
      </c>
      <c r="CI4" s="54">
        <f>CC4+CD4+CE4+CF4+CG4+CH4</f>
        <v>990</v>
      </c>
      <c r="CJ4" s="54">
        <v>176</v>
      </c>
      <c r="CK4" s="54">
        <v>170</v>
      </c>
      <c r="CL4" s="54">
        <v>187</v>
      </c>
      <c r="CM4" s="54">
        <v>190</v>
      </c>
      <c r="CN4" s="54">
        <v>178</v>
      </c>
      <c r="CO4" s="54">
        <v>79</v>
      </c>
      <c r="CP4" s="54">
        <f>CJ4+CK4+CL4+CM4+CN4+CO4</f>
        <v>980</v>
      </c>
      <c r="CQ4" s="54">
        <v>190</v>
      </c>
      <c r="CR4" s="54">
        <v>216</v>
      </c>
      <c r="CS4" s="54">
        <v>207</v>
      </c>
      <c r="CT4" s="54">
        <v>200</v>
      </c>
      <c r="CU4" s="54">
        <v>201</v>
      </c>
      <c r="CV4" s="54"/>
      <c r="CW4" s="54">
        <f>CQ4+CR4+CS4+CT4+CU4+CV4</f>
        <v>1014</v>
      </c>
      <c r="CX4" s="54"/>
      <c r="CY4" s="54">
        <v>196</v>
      </c>
      <c r="CZ4" s="54">
        <v>200</v>
      </c>
      <c r="DA4" s="54">
        <v>170</v>
      </c>
      <c r="DB4" s="54">
        <v>194</v>
      </c>
      <c r="DC4" s="54">
        <v>84</v>
      </c>
      <c r="DD4" s="54">
        <f>CX4+CY4+CZ4+DA4+DB4+DC4</f>
        <v>844</v>
      </c>
      <c r="DE4" s="54">
        <v>194</v>
      </c>
      <c r="DF4" s="69">
        <v>192</v>
      </c>
      <c r="DG4" s="69">
        <v>172</v>
      </c>
      <c r="DH4" s="69">
        <v>203</v>
      </c>
      <c r="DI4" s="69">
        <v>206</v>
      </c>
      <c r="DJ4" s="69"/>
      <c r="DK4" s="54">
        <f>DE4+DF4+DG4+DH4+DI4+DJ4</f>
        <v>967</v>
      </c>
      <c r="DL4" s="69">
        <v>188</v>
      </c>
      <c r="DM4" s="54">
        <v>215</v>
      </c>
      <c r="DN4" s="54">
        <v>202</v>
      </c>
      <c r="DO4" s="54">
        <v>170</v>
      </c>
      <c r="DP4" s="54">
        <v>189</v>
      </c>
      <c r="DQ4" s="54"/>
      <c r="DR4" s="54">
        <f>DL4+DM4+DN4+DO4+DP4+DQ4</f>
        <v>964</v>
      </c>
      <c r="DS4" s="54">
        <v>215</v>
      </c>
      <c r="DT4" s="54">
        <v>215</v>
      </c>
      <c r="DU4" s="54">
        <v>215</v>
      </c>
      <c r="DV4" s="54">
        <v>210</v>
      </c>
      <c r="DW4" s="54"/>
      <c r="DX4" s="54"/>
      <c r="DY4" s="54">
        <f>DS4+DT4+DU4+DV4+DW4+DX4</f>
        <v>855</v>
      </c>
      <c r="DZ4" s="54">
        <v>193</v>
      </c>
      <c r="EA4" s="54">
        <v>206</v>
      </c>
      <c r="EB4" s="54">
        <v>206</v>
      </c>
      <c r="EC4" s="54">
        <v>208</v>
      </c>
      <c r="ED4" s="54">
        <v>165</v>
      </c>
      <c r="EE4" s="54"/>
      <c r="EF4" s="54"/>
      <c r="EG4" s="54">
        <f>DZ4+EA4+EB4+EC4+ED4+EE4</f>
        <v>978</v>
      </c>
      <c r="EH4" s="54">
        <v>207</v>
      </c>
      <c r="EI4" s="54">
        <v>212</v>
      </c>
      <c r="EJ4" s="54">
        <v>198</v>
      </c>
      <c r="EK4" s="54">
        <v>190</v>
      </c>
      <c r="EL4" s="54">
        <v>202</v>
      </c>
      <c r="EM4" s="54"/>
      <c r="EN4" s="54"/>
      <c r="EO4" s="54">
        <f>EI4+EJ4+EK4+EL4+EM4+EN4+EH4</f>
        <v>1009</v>
      </c>
      <c r="EP4" s="54">
        <v>200</v>
      </c>
      <c r="EQ4" s="54">
        <v>200</v>
      </c>
      <c r="ER4" s="54">
        <v>203</v>
      </c>
      <c r="ES4" s="54">
        <v>200</v>
      </c>
      <c r="ET4" s="54">
        <v>205</v>
      </c>
      <c r="EU4" s="54"/>
      <c r="EV4" s="54"/>
      <c r="EW4" s="54">
        <f>EQ4+ER4+ES4+ET4+EU4+EV4+EP4</f>
        <v>1008</v>
      </c>
      <c r="EX4" s="54">
        <v>195</v>
      </c>
      <c r="EY4" s="54">
        <v>110</v>
      </c>
      <c r="EZ4" s="54">
        <v>123</v>
      </c>
      <c r="FA4" s="54">
        <v>0</v>
      </c>
      <c r="FB4" s="54">
        <v>189</v>
      </c>
      <c r="FC4" s="54"/>
      <c r="FD4" s="54"/>
      <c r="FE4" s="54">
        <f>EY4+EZ4+FA4+FB4+FC4+FD4+EX4</f>
        <v>617</v>
      </c>
      <c r="FF4" s="54"/>
      <c r="FG4" s="54"/>
      <c r="FH4" s="54">
        <v>154</v>
      </c>
      <c r="FI4" s="54">
        <v>170</v>
      </c>
      <c r="FJ4" s="54">
        <v>155</v>
      </c>
      <c r="FK4" s="54"/>
      <c r="FL4" s="54">
        <f>FF4+FG4+FH4+FI4+FJ4+FK4</f>
        <v>479</v>
      </c>
      <c r="FM4" s="54"/>
      <c r="FN4" s="54">
        <v>155</v>
      </c>
      <c r="FO4" s="54">
        <v>191</v>
      </c>
      <c r="FP4" s="54">
        <v>171</v>
      </c>
      <c r="FQ4" s="54">
        <v>161</v>
      </c>
      <c r="FR4" s="54"/>
      <c r="FS4" s="54"/>
      <c r="FT4" s="54">
        <f>FM4+FN4+FO4+FP4+FQ4+FR4</f>
        <v>678</v>
      </c>
      <c r="FU4" s="54">
        <v>184</v>
      </c>
      <c r="FV4" s="54">
        <v>187</v>
      </c>
      <c r="FW4" s="54">
        <v>180</v>
      </c>
      <c r="FX4" s="54">
        <v>170</v>
      </c>
      <c r="FY4" s="54">
        <v>157</v>
      </c>
      <c r="FZ4" s="54"/>
      <c r="GA4" s="54">
        <f>FU4+FV4+FW4+FX4+FY4+FZ4</f>
        <v>878</v>
      </c>
      <c r="GB4" s="54"/>
      <c r="GC4" s="54"/>
      <c r="GD4" s="54"/>
      <c r="GE4" s="54"/>
      <c r="GF4" s="54"/>
      <c r="GG4" s="54"/>
      <c r="GH4" s="54"/>
      <c r="GI4" s="54">
        <v>74</v>
      </c>
      <c r="GJ4" s="54">
        <v>149</v>
      </c>
      <c r="GK4" s="54">
        <v>171</v>
      </c>
      <c r="GL4" s="54">
        <v>159</v>
      </c>
      <c r="GM4" s="54">
        <v>166</v>
      </c>
      <c r="GN4" s="54"/>
      <c r="GO4" s="54">
        <f>GI4+GJ4+GK4+GL4+GM4+GN4</f>
        <v>719</v>
      </c>
      <c r="GP4" s="54"/>
      <c r="GQ4" s="54">
        <v>141</v>
      </c>
      <c r="GR4" s="54">
        <v>152</v>
      </c>
      <c r="GS4" s="54">
        <v>161</v>
      </c>
      <c r="GT4" s="54">
        <v>160</v>
      </c>
      <c r="GU4" s="54"/>
      <c r="GV4" s="54"/>
      <c r="GW4" s="194">
        <f>GQ4+GR4+GS4+GT4+GU4+GV4</f>
        <v>614</v>
      </c>
      <c r="GX4" s="214">
        <v>149</v>
      </c>
      <c r="GY4" s="54">
        <v>151</v>
      </c>
      <c r="GZ4" s="54">
        <v>151</v>
      </c>
      <c r="HA4" s="54">
        <v>144</v>
      </c>
      <c r="HB4" s="54"/>
      <c r="HC4" s="54"/>
      <c r="HD4" s="74">
        <f>GX4+GY4+GZ4+HA4+HB4+HC4</f>
        <v>595</v>
      </c>
      <c r="HE4" s="214">
        <v>161</v>
      </c>
      <c r="HF4" s="54">
        <v>151</v>
      </c>
      <c r="HG4" s="54">
        <v>150</v>
      </c>
      <c r="HH4" s="54">
        <v>174</v>
      </c>
      <c r="HI4" s="54">
        <v>170</v>
      </c>
      <c r="HJ4" s="54"/>
      <c r="HK4" s="74"/>
    </row>
    <row r="5" spans="2:219" ht="15.75" thickBot="1" x14ac:dyDescent="0.3">
      <c r="B5" s="322"/>
      <c r="C5" s="131" t="s">
        <v>89</v>
      </c>
      <c r="D5" s="150"/>
      <c r="E5" s="59"/>
      <c r="F5" s="59"/>
      <c r="G5" s="59"/>
      <c r="H5" s="59"/>
      <c r="I5" s="59"/>
      <c r="J5" s="59"/>
      <c r="K5" s="54"/>
      <c r="L5" s="54"/>
      <c r="M5" s="54"/>
      <c r="N5" s="54"/>
      <c r="O5" s="54"/>
      <c r="P5" s="54"/>
      <c r="Q5" s="54"/>
      <c r="R5" s="54"/>
      <c r="S5" s="54"/>
      <c r="T5" s="55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64">
        <f>(BO3*57/60)/(60*7)</f>
        <v>0.37321428571428572</v>
      </c>
      <c r="BP5" s="64">
        <f>(BP3*57/60)/(57*7)</f>
        <v>0.39999999999999997</v>
      </c>
      <c r="BQ5" s="64">
        <f>(BQ3*57/60)/(54*7)</f>
        <v>0.43981481481481483</v>
      </c>
      <c r="BR5" s="64">
        <f>(BR3*57/60)/(55*7)</f>
        <v>0.32818181818181819</v>
      </c>
      <c r="BS5" s="64">
        <f>(BS3*57/60)/(55*7)</f>
        <v>0.42194805194805191</v>
      </c>
      <c r="BT5" s="64">
        <f>(BT3*57/60)/(26*4)</f>
        <v>0.50240384615384615</v>
      </c>
      <c r="BU5" s="152">
        <f>AVERAGE(BO5:BT5)</f>
        <v>0.41092713613546944</v>
      </c>
      <c r="BV5" s="57">
        <f>(BV3*57/60)/(55*7)</f>
        <v>0.38987012987012987</v>
      </c>
      <c r="BW5" s="57">
        <f>(BW3*57/60)/(59*7)</f>
        <v>0.32893462469733653</v>
      </c>
      <c r="BX5" s="57">
        <f>(BX3*57/60)/(56*7)</f>
        <v>0.32232142857142854</v>
      </c>
      <c r="BY5" s="57">
        <f>(BY3*57/60)/(56*7)</f>
        <v>0.38048469387755102</v>
      </c>
      <c r="BZ5" s="57">
        <f>(BZ3*57/60)/(56*7)</f>
        <v>0.43864795918367344</v>
      </c>
      <c r="CA5" s="57">
        <f>(CA3*57/60)/(56*7)</f>
        <v>0.29323979591836735</v>
      </c>
      <c r="CB5" s="153">
        <f>AVERAGE(BV5:CA5)</f>
        <v>0.35891643868641449</v>
      </c>
      <c r="CC5" s="57">
        <f>(CC3*57/60)/(45*7)</f>
        <v>0.5066666666666666</v>
      </c>
      <c r="CD5" s="57">
        <f>(CD3*57/60)/(44*7)</f>
        <v>0.51818181818181819</v>
      </c>
      <c r="CE5" s="57">
        <f>(CE3*57/60)/(45*7)</f>
        <v>0.46444444444444449</v>
      </c>
      <c r="CF5" s="57">
        <f>(CF3*57/60)/(44*7)</f>
        <v>0.54902597402597397</v>
      </c>
      <c r="CG5" s="57">
        <f>(CG3*57/60)/(45*7)</f>
        <v>0.52174603174603174</v>
      </c>
      <c r="CH5" s="57">
        <f>(CH3*57/60)/(44*7)</f>
        <v>0.48425324675324677</v>
      </c>
      <c r="CI5" s="57">
        <f>AVERAGE(CC5:CH5)</f>
        <v>0.50738636363636369</v>
      </c>
      <c r="CJ5" s="57">
        <f>(CJ3*57/60)/(49*7.17)</f>
        <v>0.42182563401929807</v>
      </c>
      <c r="CK5" s="57">
        <f>(CK3*57/60)/(47*7.17)</f>
        <v>0.46796640849876847</v>
      </c>
      <c r="CL5" s="57">
        <f>(CL3*57/60)/(48*7.17)</f>
        <v>0.50790330079033019</v>
      </c>
      <c r="CM5" s="57">
        <f>(CM3*57/60)/(48*7.17)</f>
        <v>0.4968619246861925</v>
      </c>
      <c r="CN5" s="57">
        <f>(CN3*57/60)/(49*7.17)</f>
        <v>0.46779381208550364</v>
      </c>
      <c r="CO5" s="57">
        <f>(CO3*57/60)/(48*7.17)</f>
        <v>0.2153068340306834</v>
      </c>
      <c r="CP5" s="57">
        <f>AVERAGE(CJ5:CO5)</f>
        <v>0.4296096523517961</v>
      </c>
      <c r="CQ5" s="57">
        <f>(CQ3*57/60)/(49*7)</f>
        <v>0.55393586005830908</v>
      </c>
      <c r="CR5" s="57">
        <f>(CR3*57/60)/(47*7)</f>
        <v>0.58328267477203655</v>
      </c>
      <c r="CS5" s="57">
        <f>(CS3*57/60)/(45*7)</f>
        <v>0.63936507936507936</v>
      </c>
      <c r="CT5" s="57">
        <f>(CT3*57/60)/(45*7)</f>
        <v>0.59111111111111103</v>
      </c>
      <c r="CU5" s="57">
        <f>(CU3*57/60)/(45*7)</f>
        <v>0.60015873015873022</v>
      </c>
      <c r="CV5" s="54"/>
      <c r="CW5" s="57">
        <f>AVERAGE(CQ5:CV5)</f>
        <v>0.59357069109305327</v>
      </c>
      <c r="CX5" s="57"/>
      <c r="CY5" s="78">
        <f>(CY3*57/60)/(42*7)</f>
        <v>0.62687074829931977</v>
      </c>
      <c r="CZ5" s="78">
        <f>(CZ3*57/60)/(46*7)</f>
        <v>0.62251552795031051</v>
      </c>
      <c r="DA5" s="78">
        <f>(DA3*57/60)/(46*7)</f>
        <v>0.47795031055900622</v>
      </c>
      <c r="DB5" s="78">
        <f>(DB3*57/60)/(48*7)</f>
        <v>0.52023809523809528</v>
      </c>
      <c r="DC5" s="78">
        <f>(DC3*57/60)/(30*6)</f>
        <v>0.45916666666666672</v>
      </c>
      <c r="DD5" s="154">
        <f>AVERAGE(CX5:DC5)</f>
        <v>0.54134826974267969</v>
      </c>
      <c r="DE5" s="78">
        <f>(DE3*57/60)/(DE6*6)</f>
        <v>0.60483333333333333</v>
      </c>
      <c r="DF5" s="78">
        <f t="shared" ref="DF5:DI5" si="0">(DF3*57/60)/(DF6*7)</f>
        <v>0.55670553935860057</v>
      </c>
      <c r="DG5" s="78">
        <f t="shared" si="0"/>
        <v>0.51975683890577506</v>
      </c>
      <c r="DH5" s="78">
        <f t="shared" si="0"/>
        <v>0.57609329446064139</v>
      </c>
      <c r="DI5" s="78">
        <f t="shared" si="0"/>
        <v>0.59483282674772031</v>
      </c>
      <c r="DJ5" s="78"/>
      <c r="DK5" s="154">
        <f>AVERAGE(DE5:DJ5)</f>
        <v>0.57044436656121422</v>
      </c>
      <c r="DL5" s="78">
        <f t="shared" ref="DL5:DP5" si="1">(DL3*57/60)/(DL6*7)</f>
        <v>0.56698412698412692</v>
      </c>
      <c r="DM5" s="78">
        <f t="shared" si="1"/>
        <v>0.63847402597402603</v>
      </c>
      <c r="DN5" s="78">
        <f t="shared" si="1"/>
        <v>0.57462006079027361</v>
      </c>
      <c r="DO5" s="78">
        <f t="shared" si="1"/>
        <v>0.46807580174927116</v>
      </c>
      <c r="DP5" s="78">
        <f t="shared" si="1"/>
        <v>0.51300000000000001</v>
      </c>
      <c r="DQ5" s="54"/>
      <c r="DR5" s="154">
        <f>AVERAGE(DL5:DQ5)</f>
        <v>0.55223080309953954</v>
      </c>
      <c r="DS5" s="78">
        <f t="shared" ref="DS5:DU5" si="2">(DS3*57/60)/(DS6*7)</f>
        <v>0.57212885154061621</v>
      </c>
      <c r="DT5" s="78">
        <f t="shared" si="2"/>
        <v>0.60788690476190477</v>
      </c>
      <c r="DU5" s="78">
        <f t="shared" si="2"/>
        <v>0.59548104956268222</v>
      </c>
      <c r="DV5" s="78">
        <f t="shared" ref="DV5" si="3">(DV3*57/60)/(DV6*7)</f>
        <v>0.63431677018633537</v>
      </c>
      <c r="DW5" s="54"/>
      <c r="DX5" s="54"/>
      <c r="DY5" s="154">
        <f>AVERAGE(DS5:DX5)</f>
        <v>0.60245339401288467</v>
      </c>
      <c r="DZ5" s="78">
        <f t="shared" ref="DZ5:EA5" si="4">(DZ3*57/60)/(DZ6*7)</f>
        <v>0.59529220779220782</v>
      </c>
      <c r="EA5" s="78">
        <f t="shared" si="4"/>
        <v>0.55350140056022412</v>
      </c>
      <c r="EB5" s="78">
        <f t="shared" ref="EB5:ED5" si="5">(EB3*57/60)/(EB6*7)</f>
        <v>0.54285714285714282</v>
      </c>
      <c r="EC5" s="78">
        <f t="shared" si="5"/>
        <v>0.51269841269841276</v>
      </c>
      <c r="ED5" s="78">
        <f t="shared" si="5"/>
        <v>0.46036414565826328</v>
      </c>
      <c r="EE5" s="54"/>
      <c r="EF5" s="54"/>
      <c r="EG5" s="154">
        <f>AVERAGE(DZ5:EE5)</f>
        <v>0.53294266191325013</v>
      </c>
      <c r="EH5" s="78">
        <f t="shared" ref="EH5:EJ5" si="6">(EH3*57/60)/(EH6*7)</f>
        <v>0.57395833333333335</v>
      </c>
      <c r="EI5" s="78">
        <f t="shared" si="6"/>
        <v>0.59940476190476188</v>
      </c>
      <c r="EJ5" s="78">
        <f t="shared" si="6"/>
        <v>0.56547619047619047</v>
      </c>
      <c r="EK5" s="78">
        <f t="shared" ref="EK5:EL5" si="7">(EK3*57/60)/(EK6*7)</f>
        <v>0.53720238095238093</v>
      </c>
      <c r="EL5" s="78">
        <f t="shared" si="7"/>
        <v>0.60788690476190477</v>
      </c>
      <c r="EM5" s="54"/>
      <c r="EN5" s="54"/>
      <c r="EO5" s="154">
        <f>AVERAGE(EH5:EN5)</f>
        <v>0.57678571428571435</v>
      </c>
      <c r="EP5" s="78">
        <f t="shared" ref="EP5:EQ5" si="8">(EP3*57/60)/(EP6*7)</f>
        <v>0.52114285714285713</v>
      </c>
      <c r="EQ5" s="78">
        <f t="shared" si="8"/>
        <v>0.52197802197802201</v>
      </c>
      <c r="ER5" s="78">
        <f t="shared" ref="ER5:ES5" si="9">(ER3*57/60)/(ER6*7)</f>
        <v>0.55371428571428571</v>
      </c>
      <c r="ES5" s="78">
        <f t="shared" si="9"/>
        <v>0.58244047619047612</v>
      </c>
      <c r="ET5" s="78">
        <f t="shared" ref="ET5" si="10">(ET3*57/60)/(ET6*7)</f>
        <v>0.53502747252747251</v>
      </c>
      <c r="EU5" s="54"/>
      <c r="EV5" s="54"/>
      <c r="EW5" s="154">
        <f>AVERAGE(EP5:EV5)</f>
        <v>0.54286062271062274</v>
      </c>
      <c r="EX5" s="78">
        <f t="shared" ref="EX5:EY5" si="11">(EX3*57/60)/(EX6*7)</f>
        <v>0.52156862745098032</v>
      </c>
      <c r="EY5" s="78">
        <f t="shared" si="11"/>
        <v>0.36094224924012158</v>
      </c>
      <c r="EZ5" s="78">
        <f t="shared" ref="EZ5" si="12">(EZ3*57/60)/(EZ6*7)</f>
        <v>0.34471428571428575</v>
      </c>
      <c r="FA5" s="78"/>
      <c r="FB5" s="78">
        <f t="shared" ref="FB5" si="13">(FB3*57/60)/(FB6*7)</f>
        <v>0.55465838509316767</v>
      </c>
      <c r="FC5" s="54"/>
      <c r="FD5" s="54"/>
      <c r="FE5" s="154">
        <f>AVERAGE(EX5:FB5)</f>
        <v>0.44547088687463882</v>
      </c>
      <c r="FF5" s="57"/>
      <c r="FG5" s="57"/>
      <c r="FH5" s="78">
        <f t="shared" ref="FH5:FI5" si="14">(FH3*57/60)/(FH6*7)</f>
        <v>0.43664596273291922</v>
      </c>
      <c r="FI5" s="78">
        <f t="shared" si="14"/>
        <v>0.49860248447204975</v>
      </c>
      <c r="FJ5" s="78">
        <f t="shared" ref="FJ5" si="15">(FJ3*57/60)/(FJ6*7)</f>
        <v>0.45729813664596275</v>
      </c>
      <c r="FK5" s="54"/>
      <c r="FL5" s="154">
        <f>AVERAGE(FF5:FJ5)</f>
        <v>0.46418219461697724</v>
      </c>
      <c r="FM5" s="78"/>
      <c r="FN5" s="78">
        <f t="shared" ref="FN5:FO5" si="16">(FN3*57/60)/(FN6*7)</f>
        <v>0.45729813664596275</v>
      </c>
      <c r="FO5" s="78">
        <f t="shared" si="16"/>
        <v>0.59837662337662345</v>
      </c>
      <c r="FP5" s="78">
        <f t="shared" ref="FP5:FQ5" si="17">(FP3*57/60)/(FP6*7)</f>
        <v>0.60146103896103897</v>
      </c>
      <c r="FQ5" s="78">
        <f t="shared" si="17"/>
        <v>0.51509740259740266</v>
      </c>
      <c r="FR5" s="54"/>
      <c r="FS5" s="54"/>
      <c r="FT5" s="154">
        <f>AVERAGE(FM5:FQ5)</f>
        <v>0.54305830039525693</v>
      </c>
      <c r="FU5" s="78">
        <f t="shared" ref="FU5:FV5" si="18">(FU3*57/60)/(FU6*7)</f>
        <v>0.52023809523809528</v>
      </c>
      <c r="FV5" s="78">
        <f t="shared" si="18"/>
        <v>0.53437500000000004</v>
      </c>
      <c r="FW5" s="78">
        <f t="shared" ref="FW5:FX5" si="19">(FW3*57/60)/(FW6*7)</f>
        <v>0.52476190476190476</v>
      </c>
      <c r="FX5" s="78">
        <f t="shared" si="19"/>
        <v>0.52743506493506487</v>
      </c>
      <c r="FY5" s="78">
        <f t="shared" ref="FY5" si="20">(FY3*57/60)/(FY6*7)</f>
        <v>0.51306620209059228</v>
      </c>
      <c r="FZ5" s="54"/>
      <c r="GA5" s="154">
        <f>AVERAGE(FU5:FY5)</f>
        <v>0.5239752534051314</v>
      </c>
      <c r="GB5" s="57"/>
      <c r="GC5" s="57"/>
      <c r="GD5" s="57"/>
      <c r="GE5" s="54"/>
      <c r="GF5" s="54"/>
      <c r="GG5" s="54"/>
      <c r="GH5" s="54"/>
      <c r="GI5" s="78">
        <f t="shared" ref="GI5:GJ5" si="21">(GI3*57/60)/(GI6*7)</f>
        <v>0.24494773519163762</v>
      </c>
      <c r="GJ5" s="78">
        <f t="shared" si="21"/>
        <v>0.54285714285714293</v>
      </c>
      <c r="GK5" s="78">
        <f t="shared" ref="GK5:GL5" si="22">(GK3*57/60)/(GK6*7)</f>
        <v>0.56547619047619047</v>
      </c>
      <c r="GL5" s="78">
        <f t="shared" si="22"/>
        <v>0.5535714285714286</v>
      </c>
      <c r="GM5" s="78">
        <f t="shared" ref="GM5" si="23">(GM3*57/60)/(GM6*7)</f>
        <v>0.54285714285714282</v>
      </c>
      <c r="GN5" s="54"/>
      <c r="GO5" s="154">
        <f>AVERAGE(GI5:GM5)</f>
        <v>0.48994192799070851</v>
      </c>
      <c r="GP5" s="78"/>
      <c r="GQ5" s="78">
        <f t="shared" ref="GQ5:GT5" si="24">(GQ3*57/60)/(GQ6*7)</f>
        <v>0.52857142857142858</v>
      </c>
      <c r="GR5" s="78">
        <f t="shared" si="24"/>
        <v>0.6333333333333333</v>
      </c>
      <c r="GS5" s="78">
        <f t="shared" si="24"/>
        <v>0.57069597069597078</v>
      </c>
      <c r="GT5" s="78">
        <f t="shared" si="24"/>
        <v>0.5892857142857143</v>
      </c>
      <c r="GU5" s="54"/>
      <c r="GV5" s="54"/>
      <c r="GW5" s="195">
        <f>AVERAGE(GQ5:GU5)</f>
        <v>0.58047161172161177</v>
      </c>
      <c r="GX5" s="215">
        <f t="shared" ref="GX5:GY5" si="25">(GX3*57/60)/(GX6*7)</f>
        <v>0.50805860805860803</v>
      </c>
      <c r="GY5" s="78">
        <f t="shared" si="25"/>
        <v>0.51501831501831496</v>
      </c>
      <c r="GZ5" s="78">
        <f t="shared" ref="GZ5:HA5" si="26">(GZ3*57/60)/(GZ6*7)</f>
        <v>0.58938775510204089</v>
      </c>
      <c r="HA5" s="78">
        <f t="shared" si="26"/>
        <v>0.50805860805860803</v>
      </c>
      <c r="HB5" s="54"/>
      <c r="HC5" s="54"/>
      <c r="HD5" s="216">
        <f>AVERAGE(GX5:HB5)</f>
        <v>0.53013082155939295</v>
      </c>
      <c r="HE5" s="215">
        <f>(HE3*57/60)/(HE6*7)</f>
        <v>0.43907563025210083</v>
      </c>
      <c r="HF5" s="78">
        <f>(HF3*57/60)/(HF6*7)</f>
        <v>0.56612244897959174</v>
      </c>
      <c r="HG5" s="78">
        <f>(HG3*57/60)/(HG6*7)</f>
        <v>0.56924603174603172</v>
      </c>
      <c r="HH5" s="78">
        <f>(HH3*57/60)/(HH6*7)</f>
        <v>0.68611111111111112</v>
      </c>
      <c r="HI5" s="78">
        <f>(HI3*57/60)/(HI6*7)</f>
        <v>0.71969696969696972</v>
      </c>
      <c r="HJ5" s="54"/>
      <c r="HK5" s="74"/>
    </row>
    <row r="6" spans="2:219" ht="15.75" thickBot="1" x14ac:dyDescent="0.3">
      <c r="B6" s="322"/>
      <c r="C6" s="131" t="s">
        <v>113</v>
      </c>
      <c r="D6" s="150"/>
      <c r="E6" s="59"/>
      <c r="F6" s="59"/>
      <c r="G6" s="59"/>
      <c r="H6" s="59"/>
      <c r="I6" s="59"/>
      <c r="J6" s="59"/>
      <c r="K6" s="54"/>
      <c r="L6" s="54"/>
      <c r="M6" s="54"/>
      <c r="N6" s="54"/>
      <c r="O6" s="54"/>
      <c r="P6" s="54"/>
      <c r="Q6" s="54"/>
      <c r="R6" s="54"/>
      <c r="S6" s="54"/>
      <c r="T6" s="55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64"/>
      <c r="BP6" s="64"/>
      <c r="BQ6" s="64"/>
      <c r="BR6" s="64"/>
      <c r="BS6" s="64"/>
      <c r="BT6" s="64"/>
      <c r="BU6" s="152"/>
      <c r="BV6" s="57"/>
      <c r="BW6" s="57"/>
      <c r="BX6" s="57"/>
      <c r="BY6" s="57"/>
      <c r="BZ6" s="57"/>
      <c r="CA6" s="57"/>
      <c r="CB6" s="153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4">
        <v>49</v>
      </c>
      <c r="CR6" s="54">
        <v>47</v>
      </c>
      <c r="CS6" s="54">
        <v>45</v>
      </c>
      <c r="CT6" s="54">
        <v>44</v>
      </c>
      <c r="CU6" s="54">
        <v>45</v>
      </c>
      <c r="CV6" s="54"/>
      <c r="CW6" s="57"/>
      <c r="CX6" s="54"/>
      <c r="CY6" s="54">
        <v>42</v>
      </c>
      <c r="CZ6" s="54">
        <v>46</v>
      </c>
      <c r="DA6" s="54">
        <v>46</v>
      </c>
      <c r="DB6" s="54">
        <v>48</v>
      </c>
      <c r="DC6" s="54">
        <v>30</v>
      </c>
      <c r="DD6" s="155">
        <f>+(CY6+CZ6+DA6+DB6)/4</f>
        <v>45.5</v>
      </c>
      <c r="DE6" s="84">
        <v>50</v>
      </c>
      <c r="DF6" s="84">
        <v>49</v>
      </c>
      <c r="DG6" s="84">
        <v>47</v>
      </c>
      <c r="DH6" s="84">
        <v>49</v>
      </c>
      <c r="DI6" s="84">
        <v>47</v>
      </c>
      <c r="DJ6" s="81"/>
      <c r="DK6" s="155">
        <f>+(DF6+DG6+DH6+DI6)/4</f>
        <v>48</v>
      </c>
      <c r="DL6" s="84">
        <v>45</v>
      </c>
      <c r="DM6" s="84">
        <v>44</v>
      </c>
      <c r="DN6" s="84">
        <v>47</v>
      </c>
      <c r="DO6" s="84">
        <v>49</v>
      </c>
      <c r="DP6" s="84">
        <v>50</v>
      </c>
      <c r="DQ6" s="84"/>
      <c r="DR6" s="155">
        <f>+(DM6+DN6+DO6+DP6)/4</f>
        <v>47.5</v>
      </c>
      <c r="DS6" s="84">
        <v>51</v>
      </c>
      <c r="DT6" s="84">
        <v>48</v>
      </c>
      <c r="DU6" s="84">
        <v>49</v>
      </c>
      <c r="DV6" s="84">
        <v>46</v>
      </c>
      <c r="DW6" s="54"/>
      <c r="DX6" s="54"/>
      <c r="DY6" s="155">
        <f>+(DT6+DU6+DV6+DW6)/4</f>
        <v>35.75</v>
      </c>
      <c r="DZ6" s="84">
        <v>44</v>
      </c>
      <c r="EA6" s="84">
        <v>51</v>
      </c>
      <c r="EB6" s="84">
        <v>52</v>
      </c>
      <c r="EC6" s="84">
        <v>54</v>
      </c>
      <c r="ED6" s="84">
        <v>51</v>
      </c>
      <c r="EE6" s="54">
        <v>16</v>
      </c>
      <c r="EF6" s="54"/>
      <c r="EG6" s="155">
        <f>+(EA6+EB6+EC6+ED6+DZ6)/5</f>
        <v>50.4</v>
      </c>
      <c r="EH6" s="84">
        <v>48</v>
      </c>
      <c r="EI6" s="84">
        <v>48</v>
      </c>
      <c r="EJ6" s="84">
        <v>48</v>
      </c>
      <c r="EK6" s="84">
        <v>48</v>
      </c>
      <c r="EL6" s="84">
        <v>48</v>
      </c>
      <c r="EM6" s="54"/>
      <c r="EN6" s="54"/>
      <c r="EO6" s="155">
        <f>+(EJ6+EK6+EL6+EM6+EI6+EH6)/5</f>
        <v>48</v>
      </c>
      <c r="EP6" s="84">
        <v>50</v>
      </c>
      <c r="EQ6" s="84">
        <v>52</v>
      </c>
      <c r="ER6" s="84">
        <v>50</v>
      </c>
      <c r="ES6" s="84">
        <v>48</v>
      </c>
      <c r="ET6" s="84">
        <v>52</v>
      </c>
      <c r="EU6" s="54"/>
      <c r="EV6" s="54"/>
      <c r="EW6" s="155">
        <f>+(ER6+ES6+ET6+EU6+EQ6+EP6)/5</f>
        <v>50.4</v>
      </c>
      <c r="EX6" s="84">
        <v>51</v>
      </c>
      <c r="EY6" s="84">
        <v>47</v>
      </c>
      <c r="EZ6" s="84">
        <v>50</v>
      </c>
      <c r="FA6" s="84">
        <v>0</v>
      </c>
      <c r="FB6" s="84">
        <v>46</v>
      </c>
      <c r="FC6" s="54"/>
      <c r="FD6" s="54"/>
      <c r="FE6" s="155">
        <f>+(EZ6+FB6+EY6+EX6)/4</f>
        <v>48.5</v>
      </c>
      <c r="FF6" s="57"/>
      <c r="FG6" s="57"/>
      <c r="FH6" s="84">
        <v>46</v>
      </c>
      <c r="FI6" s="84">
        <v>46</v>
      </c>
      <c r="FJ6" s="84">
        <v>46</v>
      </c>
      <c r="FK6" s="54"/>
      <c r="FL6" s="155">
        <f>+(FG6+FI6+FF6)/3</f>
        <v>15.333333333333334</v>
      </c>
      <c r="FM6" s="84"/>
      <c r="FN6" s="84">
        <v>46</v>
      </c>
      <c r="FO6" s="84">
        <v>44</v>
      </c>
      <c r="FP6" s="84">
        <v>44</v>
      </c>
      <c r="FQ6" s="54">
        <v>44</v>
      </c>
      <c r="FR6" s="54"/>
      <c r="FS6" s="54"/>
      <c r="FT6" s="155">
        <f>+(FO6+FP6+FN6+FQ6)/4</f>
        <v>44.5</v>
      </c>
      <c r="FU6" s="54">
        <v>48</v>
      </c>
      <c r="FV6" s="54">
        <v>48</v>
      </c>
      <c r="FW6" s="54">
        <v>45</v>
      </c>
      <c r="FX6" s="54">
        <v>44</v>
      </c>
      <c r="FY6" s="54">
        <v>41</v>
      </c>
      <c r="FZ6" s="54"/>
      <c r="GA6" s="155">
        <f>+(FV6+FX6+FU6)/3</f>
        <v>46.666666666666664</v>
      </c>
      <c r="GB6" s="57"/>
      <c r="GC6" s="57"/>
      <c r="GD6" s="57"/>
      <c r="GE6" s="54"/>
      <c r="GF6" s="54"/>
      <c r="GG6" s="54"/>
      <c r="GH6" s="54"/>
      <c r="GI6" s="54">
        <v>41</v>
      </c>
      <c r="GJ6" s="54">
        <v>38</v>
      </c>
      <c r="GK6" s="54">
        <v>42</v>
      </c>
      <c r="GL6" s="54">
        <v>38</v>
      </c>
      <c r="GM6" s="54">
        <v>42</v>
      </c>
      <c r="GN6" s="54"/>
      <c r="GO6" s="155">
        <f>+(GJ6+GL6+GI6)/3</f>
        <v>39</v>
      </c>
      <c r="GP6" s="54"/>
      <c r="GQ6" s="54">
        <v>38</v>
      </c>
      <c r="GR6" s="54">
        <v>36</v>
      </c>
      <c r="GS6" s="54">
        <v>39</v>
      </c>
      <c r="GT6" s="54">
        <v>38</v>
      </c>
      <c r="GU6" s="54"/>
      <c r="GV6" s="54"/>
      <c r="GW6" s="196">
        <f>+(GR6+GT6+GQ6+GS6)/4</f>
        <v>37.75</v>
      </c>
      <c r="GX6" s="214">
        <v>39</v>
      </c>
      <c r="GY6" s="54">
        <v>39</v>
      </c>
      <c r="GZ6" s="54">
        <v>35</v>
      </c>
      <c r="HA6" s="54">
        <v>39</v>
      </c>
      <c r="HB6" s="54"/>
      <c r="HC6" s="54"/>
      <c r="HD6" s="217">
        <f>+(GY6+HA6+GX6+GZ6)/4</f>
        <v>38</v>
      </c>
      <c r="HE6" s="214">
        <v>51</v>
      </c>
      <c r="HF6" s="54">
        <f>47-HF7</f>
        <v>35</v>
      </c>
      <c r="HG6" s="54">
        <f>47-HG7</f>
        <v>36</v>
      </c>
      <c r="HH6" s="54">
        <f>47-HH7</f>
        <v>36</v>
      </c>
      <c r="HI6" s="54">
        <f>47-HI7</f>
        <v>33</v>
      </c>
      <c r="HJ6" s="54"/>
      <c r="HK6" s="74"/>
    </row>
    <row r="7" spans="2:219" s="6" customFormat="1" ht="15.75" thickBot="1" x14ac:dyDescent="0.3">
      <c r="B7" s="322"/>
      <c r="C7" s="132" t="s">
        <v>6</v>
      </c>
      <c r="D7" s="156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56">
        <v>2</v>
      </c>
      <c r="L7" s="56">
        <v>0</v>
      </c>
      <c r="M7" s="56">
        <v>10</v>
      </c>
      <c r="N7" s="56">
        <v>8</v>
      </c>
      <c r="O7" s="56">
        <v>12</v>
      </c>
      <c r="P7" s="56">
        <v>0</v>
      </c>
      <c r="Q7" s="56">
        <v>0</v>
      </c>
      <c r="R7" s="56">
        <v>4</v>
      </c>
      <c r="S7" s="56">
        <v>5</v>
      </c>
      <c r="T7" s="56">
        <v>5</v>
      </c>
      <c r="U7" s="56">
        <v>8</v>
      </c>
      <c r="V7" s="56">
        <v>8</v>
      </c>
      <c r="W7" s="56"/>
      <c r="X7" s="56"/>
      <c r="Y7" s="56">
        <v>7</v>
      </c>
      <c r="Z7" s="56">
        <v>8</v>
      </c>
      <c r="AA7" s="56">
        <v>11</v>
      </c>
      <c r="AB7" s="56">
        <v>15</v>
      </c>
      <c r="AC7" s="56">
        <v>13</v>
      </c>
      <c r="AD7" s="56">
        <v>1</v>
      </c>
      <c r="AE7" s="56"/>
      <c r="AF7" s="56">
        <v>15</v>
      </c>
      <c r="AG7" s="56">
        <v>17</v>
      </c>
      <c r="AH7" s="56">
        <v>11</v>
      </c>
      <c r="AI7" s="56">
        <v>11</v>
      </c>
      <c r="AJ7" s="56">
        <v>13</v>
      </c>
      <c r="AK7" s="56">
        <v>0</v>
      </c>
      <c r="AL7" s="56"/>
      <c r="AM7" s="56"/>
      <c r="AN7" s="56">
        <v>4</v>
      </c>
      <c r="AO7" s="56">
        <v>7</v>
      </c>
      <c r="AP7" s="56">
        <v>4</v>
      </c>
      <c r="AQ7" s="56">
        <v>3</v>
      </c>
      <c r="AR7" s="56"/>
      <c r="AS7" s="56"/>
      <c r="AT7" s="56">
        <v>8</v>
      </c>
      <c r="AU7" s="56">
        <v>7</v>
      </c>
      <c r="AV7" s="56">
        <v>11</v>
      </c>
      <c r="AW7" s="56">
        <v>11</v>
      </c>
      <c r="AX7" s="56">
        <v>10</v>
      </c>
      <c r="AY7" s="56"/>
      <c r="AZ7" s="56"/>
      <c r="BA7" s="56">
        <v>4</v>
      </c>
      <c r="BB7" s="56">
        <v>8</v>
      </c>
      <c r="BC7" s="56">
        <v>6</v>
      </c>
      <c r="BD7" s="56">
        <v>7</v>
      </c>
      <c r="BE7" s="56">
        <v>7</v>
      </c>
      <c r="BF7" s="56"/>
      <c r="BG7" s="56"/>
      <c r="BH7" s="56">
        <v>7</v>
      </c>
      <c r="BI7" s="56">
        <v>9</v>
      </c>
      <c r="BJ7" s="56">
        <v>12</v>
      </c>
      <c r="BK7" s="56">
        <v>15</v>
      </c>
      <c r="BL7" s="56">
        <v>11</v>
      </c>
      <c r="BM7" s="56">
        <v>0</v>
      </c>
      <c r="BN7" s="56"/>
      <c r="BO7" s="56">
        <v>6</v>
      </c>
      <c r="BP7" s="56">
        <v>9</v>
      </c>
      <c r="BQ7" s="56">
        <v>11</v>
      </c>
      <c r="BR7" s="56">
        <v>11</v>
      </c>
      <c r="BS7" s="56">
        <v>10</v>
      </c>
      <c r="BT7" s="56">
        <v>0</v>
      </c>
      <c r="BU7" s="151">
        <f>BO7+BP7+BQ7+BR7+BS7+BT7</f>
        <v>47</v>
      </c>
      <c r="BV7" s="69">
        <v>6</v>
      </c>
      <c r="BW7" s="69">
        <v>3</v>
      </c>
      <c r="BX7" s="69">
        <v>6</v>
      </c>
      <c r="BY7" s="69">
        <v>5</v>
      </c>
      <c r="BZ7" s="69">
        <v>9</v>
      </c>
      <c r="CA7" s="69">
        <v>1</v>
      </c>
      <c r="CB7" s="151">
        <f>+(BV7+BW7+BX7+BY7+BZ7+CA7)/6</f>
        <v>5</v>
      </c>
      <c r="CC7" s="54">
        <v>7</v>
      </c>
      <c r="CD7" s="54">
        <v>10</v>
      </c>
      <c r="CE7" s="54">
        <v>10</v>
      </c>
      <c r="CF7" s="54">
        <v>9</v>
      </c>
      <c r="CG7" s="54">
        <v>7</v>
      </c>
      <c r="CH7" s="54">
        <v>0</v>
      </c>
      <c r="CI7" s="157">
        <f>+(CC7+CD7+CE7+CF7+CG7+CH7)/6</f>
        <v>7.166666666666667</v>
      </c>
      <c r="CJ7" s="54">
        <v>6</v>
      </c>
      <c r="CK7" s="54">
        <v>6</v>
      </c>
      <c r="CL7" s="54">
        <v>5</v>
      </c>
      <c r="CM7" s="54">
        <v>5</v>
      </c>
      <c r="CN7" s="54">
        <v>4</v>
      </c>
      <c r="CO7" s="54">
        <v>1</v>
      </c>
      <c r="CP7" s="157">
        <f>+(CJ7+CK7+CL7+CM7+CN7+CO7)/6</f>
        <v>4.5</v>
      </c>
      <c r="CQ7" s="54">
        <v>5</v>
      </c>
      <c r="CR7" s="54">
        <v>9</v>
      </c>
      <c r="CS7" s="54">
        <v>9</v>
      </c>
      <c r="CT7" s="54">
        <v>10</v>
      </c>
      <c r="CU7" s="54">
        <v>9</v>
      </c>
      <c r="CV7" s="54"/>
      <c r="CW7" s="157">
        <f>+(CQ7+CR7+CS7+CT7+CU7+CV7)/6</f>
        <v>7</v>
      </c>
      <c r="CX7" s="54"/>
      <c r="CY7" s="56">
        <v>11</v>
      </c>
      <c r="CZ7" s="56">
        <v>8</v>
      </c>
      <c r="DA7" s="56">
        <v>8</v>
      </c>
      <c r="DB7" s="56">
        <v>6</v>
      </c>
      <c r="DC7" s="56">
        <v>0</v>
      </c>
      <c r="DD7" s="56">
        <f>+(CX7+CY7+CZ7+DA7+DB7+DC7)/4</f>
        <v>8.25</v>
      </c>
      <c r="DE7" s="56">
        <v>4</v>
      </c>
      <c r="DF7" s="80">
        <v>5</v>
      </c>
      <c r="DG7" s="80">
        <v>7</v>
      </c>
      <c r="DH7" s="80">
        <v>5</v>
      </c>
      <c r="DI7" s="80">
        <v>7</v>
      </c>
      <c r="DJ7" s="80"/>
      <c r="DK7" s="56">
        <f>+(DE7+DF7+DG7+DH7+DI7+DJ7)/4</f>
        <v>7</v>
      </c>
      <c r="DL7" s="80">
        <v>9</v>
      </c>
      <c r="DM7" s="56">
        <v>9</v>
      </c>
      <c r="DN7" s="56">
        <v>6</v>
      </c>
      <c r="DO7" s="56">
        <v>4</v>
      </c>
      <c r="DP7" s="56">
        <v>3</v>
      </c>
      <c r="DQ7" s="56"/>
      <c r="DR7" s="80">
        <f>+(DL7+DM7+DN7+DO7+DP7+DQ7)/4</f>
        <v>7.75</v>
      </c>
      <c r="DS7" s="56">
        <v>2</v>
      </c>
      <c r="DT7" s="56">
        <v>5</v>
      </c>
      <c r="DU7" s="56">
        <v>4</v>
      </c>
      <c r="DV7" s="56">
        <v>7</v>
      </c>
      <c r="DW7" s="56"/>
      <c r="DX7" s="56"/>
      <c r="DY7" s="80">
        <f>+(DS7+DT7+DU7+DV7+DW7+DX7)/4</f>
        <v>4.5</v>
      </c>
      <c r="DZ7" s="56">
        <v>11</v>
      </c>
      <c r="EA7" s="56">
        <v>7</v>
      </c>
      <c r="EB7" s="56">
        <v>6</v>
      </c>
      <c r="EC7" s="56">
        <v>4</v>
      </c>
      <c r="ED7" s="56">
        <v>7</v>
      </c>
      <c r="EE7" s="56"/>
      <c r="EF7" s="56"/>
      <c r="EG7" s="80">
        <f>+(DZ7+EA7+EB7+EC7+ED7+EE7)/4</f>
        <v>8.75</v>
      </c>
      <c r="EH7" s="56">
        <v>6</v>
      </c>
      <c r="EI7" s="56">
        <v>5</v>
      </c>
      <c r="EJ7" s="56">
        <v>5</v>
      </c>
      <c r="EK7" s="56">
        <v>6</v>
      </c>
      <c r="EL7" s="56">
        <v>6</v>
      </c>
      <c r="EM7" s="56"/>
      <c r="EN7" s="56"/>
      <c r="EO7" s="80">
        <f>+(EI7+EJ7+EK7+EL7+EM7+EN7+EH7)/5</f>
        <v>5.6</v>
      </c>
      <c r="EP7" s="56">
        <v>7</v>
      </c>
      <c r="EQ7" s="56">
        <v>3</v>
      </c>
      <c r="ER7" s="56">
        <v>5</v>
      </c>
      <c r="ES7" s="56">
        <v>7</v>
      </c>
      <c r="ET7" s="56">
        <v>3</v>
      </c>
      <c r="EU7" s="54"/>
      <c r="EV7" s="54"/>
      <c r="EW7" s="80">
        <f>+(EQ7+ER7+ES7+ET7+EU7+EV7+EP7)/5</f>
        <v>5</v>
      </c>
      <c r="EX7" s="56">
        <v>4</v>
      </c>
      <c r="EY7" s="56">
        <v>8</v>
      </c>
      <c r="EZ7" s="56">
        <v>5</v>
      </c>
      <c r="FA7" s="56">
        <v>0</v>
      </c>
      <c r="FB7" s="56">
        <v>9</v>
      </c>
      <c r="FC7" s="54"/>
      <c r="FD7" s="54"/>
      <c r="FE7" s="80">
        <f>+(EY7+EZ7+FA7+FB7+FC7+FD7+EX7)/5</f>
        <v>5.2</v>
      </c>
      <c r="FF7" s="56"/>
      <c r="FG7" s="56"/>
      <c r="FH7" s="56">
        <v>6</v>
      </c>
      <c r="FI7" s="56">
        <v>6</v>
      </c>
      <c r="FJ7" s="56">
        <v>6</v>
      </c>
      <c r="FK7" s="54"/>
      <c r="FL7" s="80">
        <f>+(FF7+FG7+FH7+FI7+FJ7+FK7)/3</f>
        <v>6</v>
      </c>
      <c r="FM7" s="56"/>
      <c r="FN7" s="56">
        <v>6</v>
      </c>
      <c r="FO7" s="56">
        <v>8</v>
      </c>
      <c r="FP7" s="56">
        <v>8</v>
      </c>
      <c r="FQ7" s="56">
        <v>8</v>
      </c>
      <c r="FR7" s="54"/>
      <c r="FS7" s="54"/>
      <c r="FT7" s="80">
        <f>+(FM7+FN7+FO7+FP7+FQ7+FR7)/4</f>
        <v>7.5</v>
      </c>
      <c r="FU7" s="56">
        <v>4</v>
      </c>
      <c r="FV7" s="56">
        <v>4</v>
      </c>
      <c r="FW7" s="56">
        <v>7</v>
      </c>
      <c r="FX7" s="56">
        <v>8</v>
      </c>
      <c r="FY7" s="56">
        <v>11</v>
      </c>
      <c r="FZ7" s="54"/>
      <c r="GA7" s="80">
        <f>+(FU7+FV7+FW7+FX7+FY7+FZ7)/3</f>
        <v>11.333333333333334</v>
      </c>
      <c r="GB7" s="56"/>
      <c r="GC7" s="56"/>
      <c r="GD7" s="56"/>
      <c r="GE7" s="56"/>
      <c r="GF7" s="56"/>
      <c r="GG7" s="54"/>
      <c r="GH7" s="54"/>
      <c r="GI7" s="56">
        <v>8</v>
      </c>
      <c r="GJ7" s="56">
        <v>8</v>
      </c>
      <c r="GK7" s="56">
        <v>4</v>
      </c>
      <c r="GL7" s="56">
        <v>8</v>
      </c>
      <c r="GM7" s="56">
        <v>4</v>
      </c>
      <c r="GN7" s="54"/>
      <c r="GO7" s="80">
        <f>+(GI7+GJ7+GK7+GL7+GM7+GN7)/3</f>
        <v>10.666666666666666</v>
      </c>
      <c r="GP7" s="56"/>
      <c r="GQ7" s="56">
        <v>8</v>
      </c>
      <c r="GR7" s="56">
        <v>10</v>
      </c>
      <c r="GS7" s="56">
        <v>7</v>
      </c>
      <c r="GT7" s="56">
        <v>8</v>
      </c>
      <c r="GU7" s="54"/>
      <c r="GV7" s="54"/>
      <c r="GW7" s="197">
        <f>+(GQ7+GR7+GS7+GT7+GU7+GV7)/4</f>
        <v>8.25</v>
      </c>
      <c r="GX7" s="218">
        <v>7</v>
      </c>
      <c r="GY7" s="56">
        <v>7</v>
      </c>
      <c r="GZ7" s="56">
        <v>11</v>
      </c>
      <c r="HA7" s="56">
        <v>7</v>
      </c>
      <c r="HB7" s="56"/>
      <c r="HC7" s="54"/>
      <c r="HD7" s="219">
        <f>+(GX7+GY7+GZ7+HA7+HB7+HC7)/4</f>
        <v>8</v>
      </c>
      <c r="HE7" s="218">
        <v>6</v>
      </c>
      <c r="HF7" s="56">
        <v>12</v>
      </c>
      <c r="HG7" s="56">
        <v>11</v>
      </c>
      <c r="HH7" s="56">
        <v>11</v>
      </c>
      <c r="HI7" s="56">
        <v>14</v>
      </c>
      <c r="HJ7" s="54"/>
      <c r="HK7" s="74"/>
    </row>
    <row r="8" spans="2:219" s="6" customFormat="1" ht="15.75" thickBot="1" x14ac:dyDescent="0.3">
      <c r="B8" s="322"/>
      <c r="C8" s="132" t="s">
        <v>87</v>
      </c>
      <c r="D8" s="156"/>
      <c r="E8" s="60"/>
      <c r="F8" s="60"/>
      <c r="G8" s="60"/>
      <c r="H8" s="60"/>
      <c r="I8" s="60"/>
      <c r="J8" s="60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>
        <f>+BJ7/45</f>
        <v>0.26666666666666666</v>
      </c>
      <c r="BK8" s="56"/>
      <c r="BL8" s="56"/>
      <c r="BM8" s="56"/>
      <c r="BN8" s="56"/>
      <c r="BO8" s="57">
        <f>BO7/60</f>
        <v>0.1</v>
      </c>
      <c r="BP8" s="57">
        <f>BP7/57</f>
        <v>0.15789473684210525</v>
      </c>
      <c r="BQ8" s="57">
        <f>BQ7/54</f>
        <v>0.20370370370370369</v>
      </c>
      <c r="BR8" s="57">
        <f>BR7/55</f>
        <v>0.2</v>
      </c>
      <c r="BS8" s="57">
        <f>BS7/55</f>
        <v>0.18181818181818182</v>
      </c>
      <c r="BT8" s="57">
        <f>BT7/26</f>
        <v>0</v>
      </c>
      <c r="BU8" s="152">
        <f>AVERAGE(BO8:BT8)</f>
        <v>0.14056943706066516</v>
      </c>
      <c r="BV8" s="57">
        <f t="shared" ref="BV8:CA8" si="27">BV7/61</f>
        <v>9.8360655737704916E-2</v>
      </c>
      <c r="BW8" s="57">
        <f t="shared" si="27"/>
        <v>4.9180327868852458E-2</v>
      </c>
      <c r="BX8" s="57">
        <f t="shared" si="27"/>
        <v>9.8360655737704916E-2</v>
      </c>
      <c r="BY8" s="57">
        <f t="shared" si="27"/>
        <v>8.1967213114754092E-2</v>
      </c>
      <c r="BZ8" s="57">
        <f t="shared" si="27"/>
        <v>0.14754098360655737</v>
      </c>
      <c r="CA8" s="57">
        <f t="shared" si="27"/>
        <v>1.6393442622950821E-2</v>
      </c>
      <c r="CB8" s="153">
        <f>AVERAGE(BV8:CA8)</f>
        <v>8.1967213114754092E-2</v>
      </c>
      <c r="CC8" s="57">
        <f>CC7/54</f>
        <v>0.12962962962962962</v>
      </c>
      <c r="CD8" s="57">
        <f>CD7/54</f>
        <v>0.18518518518518517</v>
      </c>
      <c r="CE8" s="57">
        <f>CE7/54</f>
        <v>0.18518518518518517</v>
      </c>
      <c r="CF8" s="57">
        <f>CF7/54</f>
        <v>0.16666666666666666</v>
      </c>
      <c r="CG8" s="57">
        <f>CG7/54</f>
        <v>0.12962962962962962</v>
      </c>
      <c r="CH8" s="57">
        <f>CH7/44</f>
        <v>0</v>
      </c>
      <c r="CI8" s="57">
        <f>AVERAGE(CC8:CH8)</f>
        <v>0.13271604938271606</v>
      </c>
      <c r="CJ8" s="57">
        <f t="shared" ref="CJ8:CO8" si="28">CJ7/53</f>
        <v>0.11320754716981132</v>
      </c>
      <c r="CK8" s="57">
        <f t="shared" si="28"/>
        <v>0.11320754716981132</v>
      </c>
      <c r="CL8" s="57">
        <f t="shared" si="28"/>
        <v>9.4339622641509441E-2</v>
      </c>
      <c r="CM8" s="57">
        <f t="shared" si="28"/>
        <v>9.4339622641509441E-2</v>
      </c>
      <c r="CN8" s="57">
        <f t="shared" si="28"/>
        <v>7.5471698113207544E-2</v>
      </c>
      <c r="CO8" s="57">
        <f t="shared" si="28"/>
        <v>1.8867924528301886E-2</v>
      </c>
      <c r="CP8" s="57">
        <f>AVERAGE(CJ8:CO8)</f>
        <v>8.4905660377358486E-2</v>
      </c>
      <c r="CQ8" s="57">
        <f>CQ7/54</f>
        <v>9.2592592592592587E-2</v>
      </c>
      <c r="CR8" s="57">
        <f>CR7/54</f>
        <v>0.16666666666666666</v>
      </c>
      <c r="CS8" s="57">
        <f>CS7/54</f>
        <v>0.16666666666666666</v>
      </c>
      <c r="CT8" s="57">
        <f>CT7/54</f>
        <v>0.18518518518518517</v>
      </c>
      <c r="CU8" s="57">
        <f>CU7/54</f>
        <v>0.16666666666666666</v>
      </c>
      <c r="CV8" s="54"/>
      <c r="CW8" s="57">
        <f>AVERAGE(CQ8:CV8)</f>
        <v>0.15555555555555556</v>
      </c>
      <c r="CX8" s="57"/>
      <c r="CY8" s="57">
        <f>CY7/54</f>
        <v>0.20370370370370369</v>
      </c>
      <c r="CZ8" s="57">
        <f>CZ7/54</f>
        <v>0.14814814814814814</v>
      </c>
      <c r="DA8" s="57">
        <f>DA7/54</f>
        <v>0.14814814814814814</v>
      </c>
      <c r="DB8" s="57">
        <f>DB7/54</f>
        <v>0.1111111111111111</v>
      </c>
      <c r="DC8" s="57">
        <f>DC7/54</f>
        <v>0</v>
      </c>
      <c r="DD8" s="57">
        <f>AVERAGE(CX8:DC8)</f>
        <v>0.12222222222222223</v>
      </c>
      <c r="DE8" s="57">
        <f>DE7/54</f>
        <v>7.407407407407407E-2</v>
      </c>
      <c r="DF8" s="57">
        <f>DF7/54</f>
        <v>9.2592592592592587E-2</v>
      </c>
      <c r="DG8" s="57">
        <f>DG7/54</f>
        <v>0.12962962962962962</v>
      </c>
      <c r="DH8" s="57">
        <f>DH7/54</f>
        <v>9.2592592592592587E-2</v>
      </c>
      <c r="DI8" s="57">
        <f>DI7/54</f>
        <v>0.12962962962962962</v>
      </c>
      <c r="DJ8" s="57"/>
      <c r="DK8" s="57">
        <f>AVERAGE(DE8:DJ8)</f>
        <v>0.1037037037037037</v>
      </c>
      <c r="DL8" s="57">
        <f>DL7/54</f>
        <v>0.16666666666666666</v>
      </c>
      <c r="DM8" s="57">
        <f>DM7/54</f>
        <v>0.16666666666666666</v>
      </c>
      <c r="DN8" s="57">
        <f>DN7/54</f>
        <v>0.1111111111111111</v>
      </c>
      <c r="DO8" s="57">
        <f>DO7/54</f>
        <v>7.407407407407407E-2</v>
      </c>
      <c r="DP8" s="57">
        <f>DP7/54</f>
        <v>5.5555555555555552E-2</v>
      </c>
      <c r="DQ8" s="56"/>
      <c r="DR8" s="57">
        <f>AVERAGE(DL8:DQ8)</f>
        <v>0.11481481481481481</v>
      </c>
      <c r="DS8" s="57">
        <f>DS7/54</f>
        <v>3.7037037037037035E-2</v>
      </c>
      <c r="DT8" s="57">
        <f>DT7/54</f>
        <v>9.2592592592592587E-2</v>
      </c>
      <c r="DU8" s="57">
        <f>DU7/54</f>
        <v>7.407407407407407E-2</v>
      </c>
      <c r="DV8" s="57">
        <f>DV7/54</f>
        <v>0.12962962962962962</v>
      </c>
      <c r="DW8" s="56"/>
      <c r="DX8" s="56"/>
      <c r="DY8" s="57">
        <f>AVERAGE(DS8:DX8)</f>
        <v>8.3333333333333329E-2</v>
      </c>
      <c r="DZ8" s="57">
        <f>DZ7/54</f>
        <v>0.20370370370370369</v>
      </c>
      <c r="EA8" s="57">
        <f>EA7/58</f>
        <v>0.1206896551724138</v>
      </c>
      <c r="EB8" s="57">
        <f>EB7/58</f>
        <v>0.10344827586206896</v>
      </c>
      <c r="EC8" s="57">
        <f>EC7/58</f>
        <v>6.8965517241379309E-2</v>
      </c>
      <c r="ED8" s="57">
        <f>ED7/58</f>
        <v>0.1206896551724138</v>
      </c>
      <c r="EE8" s="56"/>
      <c r="EF8" s="56"/>
      <c r="EG8" s="57">
        <f>AVERAGE(DZ8:EE8)</f>
        <v>0.1234993614303959</v>
      </c>
      <c r="EH8" s="57">
        <f>EH7/54</f>
        <v>0.1111111111111111</v>
      </c>
      <c r="EI8" s="57">
        <f>EI7/54</f>
        <v>9.2592592592592587E-2</v>
      </c>
      <c r="EJ8" s="57">
        <f>EJ7/54</f>
        <v>9.2592592592592587E-2</v>
      </c>
      <c r="EK8" s="57">
        <f>EK7/54</f>
        <v>0.1111111111111111</v>
      </c>
      <c r="EL8" s="57">
        <f>EL7/54</f>
        <v>0.1111111111111111</v>
      </c>
      <c r="EM8" s="56"/>
      <c r="EN8" s="56"/>
      <c r="EO8" s="57">
        <f>AVERAGE(EH8:EN8)</f>
        <v>0.1037037037037037</v>
      </c>
      <c r="EP8" s="57">
        <f>EP7/54</f>
        <v>0.12962962962962962</v>
      </c>
      <c r="EQ8" s="57">
        <f>EQ7/55</f>
        <v>5.4545454545454543E-2</v>
      </c>
      <c r="ER8" s="57">
        <f>ER7/55</f>
        <v>9.0909090909090912E-2</v>
      </c>
      <c r="ES8" s="57">
        <f>ES7/55</f>
        <v>0.12727272727272726</v>
      </c>
      <c r="ET8" s="57">
        <f>ET7/55</f>
        <v>5.4545454545454543E-2</v>
      </c>
      <c r="EU8" s="54"/>
      <c r="EV8" s="54"/>
      <c r="EW8" s="57">
        <f>AVERAGE(EP8:EV8)</f>
        <v>9.1380471380471368E-2</v>
      </c>
      <c r="EX8" s="57">
        <f>EX7/55</f>
        <v>7.2727272727272724E-2</v>
      </c>
      <c r="EY8" s="57">
        <f>EY7/55</f>
        <v>0.14545454545454545</v>
      </c>
      <c r="EZ8" s="57">
        <f>EZ7/55</f>
        <v>9.0909090909090912E-2</v>
      </c>
      <c r="FA8" s="57">
        <f>FA7/55</f>
        <v>0</v>
      </c>
      <c r="FB8" s="57">
        <f>FB7/55</f>
        <v>0.16363636363636364</v>
      </c>
      <c r="FC8" s="54"/>
      <c r="FD8" s="54"/>
      <c r="FE8" s="57">
        <f>AVERAGE(EX8:FD8)</f>
        <v>9.4545454545454544E-2</v>
      </c>
      <c r="FF8" s="57"/>
      <c r="FG8" s="57"/>
      <c r="FH8" s="57">
        <f>FH7/52</f>
        <v>0.11538461538461539</v>
      </c>
      <c r="FI8" s="57">
        <f>FI7/52</f>
        <v>0.11538461538461539</v>
      </c>
      <c r="FJ8" s="57">
        <f>FJ7/52</f>
        <v>0.11538461538461539</v>
      </c>
      <c r="FK8" s="54"/>
      <c r="FL8" s="57">
        <f>AVERAGE(FF8:FK8)</f>
        <v>0.11538461538461538</v>
      </c>
      <c r="FM8" s="57"/>
      <c r="FN8" s="57">
        <f>FN7/52</f>
        <v>0.11538461538461539</v>
      </c>
      <c r="FO8" s="57">
        <f>FO7/52</f>
        <v>0.15384615384615385</v>
      </c>
      <c r="FP8" s="57">
        <f>FP7/52</f>
        <v>0.15384615384615385</v>
      </c>
      <c r="FQ8" s="57">
        <f>FQ7/52</f>
        <v>0.15384615384615385</v>
      </c>
      <c r="FR8" s="54"/>
      <c r="FS8" s="54"/>
      <c r="FT8" s="57">
        <f>AVERAGE(FM8:FR8)</f>
        <v>0.14423076923076925</v>
      </c>
      <c r="FU8" s="57">
        <f>FU7/52</f>
        <v>7.6923076923076927E-2</v>
      </c>
      <c r="FV8" s="57">
        <f>FV7/52</f>
        <v>7.6923076923076927E-2</v>
      </c>
      <c r="FW8" s="57">
        <f>FW7/52</f>
        <v>0.13461538461538461</v>
      </c>
      <c r="FX8" s="57">
        <f>FX7/52</f>
        <v>0.15384615384615385</v>
      </c>
      <c r="FY8" s="57">
        <f>FY7/52</f>
        <v>0.21153846153846154</v>
      </c>
      <c r="FZ8" s="54"/>
      <c r="GA8" s="57">
        <f>AVERAGE(FU8:FZ8)</f>
        <v>0.13076923076923078</v>
      </c>
      <c r="GB8" s="57"/>
      <c r="GC8" s="57"/>
      <c r="GD8" s="57"/>
      <c r="GE8" s="56"/>
      <c r="GF8" s="56"/>
      <c r="GG8" s="54"/>
      <c r="GH8" s="54"/>
      <c r="GI8" s="57">
        <f>GI7/52</f>
        <v>0.15384615384615385</v>
      </c>
      <c r="GJ8" s="57">
        <f>GJ7/52</f>
        <v>0.15384615384615385</v>
      </c>
      <c r="GK8" s="57">
        <f>GK7/52</f>
        <v>7.6923076923076927E-2</v>
      </c>
      <c r="GL8" s="57">
        <f>GL7/52</f>
        <v>0.15384615384615385</v>
      </c>
      <c r="GM8" s="57">
        <f>GM7/52</f>
        <v>7.6923076923076927E-2</v>
      </c>
      <c r="GN8" s="54"/>
      <c r="GO8" s="57">
        <f>AVERAGE(GI8:GN8)</f>
        <v>0.12307692307692308</v>
      </c>
      <c r="GP8" s="57"/>
      <c r="GQ8" s="57">
        <f>GQ7/46</f>
        <v>0.17391304347826086</v>
      </c>
      <c r="GR8" s="57">
        <f>GR7/(SUM(GR6,GR7))</f>
        <v>0.21739130434782608</v>
      </c>
      <c r="GS8" s="57">
        <f>GS7/(SUM(GS6,GS7))</f>
        <v>0.15217391304347827</v>
      </c>
      <c r="GT8" s="57">
        <f>GT7/(SUM(GT6,GT7))</f>
        <v>0.17391304347826086</v>
      </c>
      <c r="GU8" s="54"/>
      <c r="GV8" s="54"/>
      <c r="GW8" s="198">
        <f>AVERAGE(GQ8:GV8)</f>
        <v>0.17934782608695651</v>
      </c>
      <c r="GX8" s="220">
        <f>GX7/(SUM(GX6,GX7))</f>
        <v>0.15217391304347827</v>
      </c>
      <c r="GY8" s="57">
        <f>GY7/(SUM(GY6,GY7))</f>
        <v>0.15217391304347827</v>
      </c>
      <c r="GZ8" s="57">
        <f>GZ7/(SUM(GZ6,GZ7))</f>
        <v>0.2391304347826087</v>
      </c>
      <c r="HA8" s="57">
        <f>HA7/(SUM(HA6,HA7))</f>
        <v>0.15217391304347827</v>
      </c>
      <c r="HB8" s="56"/>
      <c r="HC8" s="54"/>
      <c r="HD8" s="221">
        <f>AVERAGE(GX8:HC8)</f>
        <v>0.17391304347826086</v>
      </c>
      <c r="HE8" s="220">
        <f>HE7/(SUM(HE6,HE7))</f>
        <v>0.10526315789473684</v>
      </c>
      <c r="HF8" s="57">
        <f>HF7/(SUM(HF6,HF7))</f>
        <v>0.25531914893617019</v>
      </c>
      <c r="HG8" s="57">
        <f>HG7/(SUM(HG6,HG7))</f>
        <v>0.23404255319148937</v>
      </c>
      <c r="HH8" s="57">
        <f>HH7/(SUM(HH6,HH7))</f>
        <v>0.23404255319148937</v>
      </c>
      <c r="HI8" s="57">
        <f>HI7/(SUM(HI6,HI7))</f>
        <v>0.2978723404255319</v>
      </c>
      <c r="HJ8" s="54"/>
      <c r="HK8" s="74"/>
    </row>
    <row r="9" spans="2:219" s="6" customFormat="1" ht="15.75" thickBot="1" x14ac:dyDescent="0.3">
      <c r="B9" s="322"/>
      <c r="C9" s="132" t="s">
        <v>86</v>
      </c>
      <c r="D9" s="156"/>
      <c r="E9" s="60"/>
      <c r="F9" s="60"/>
      <c r="G9" s="60"/>
      <c r="H9" s="60"/>
      <c r="I9" s="60"/>
      <c r="J9" s="60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>
        <v>47</v>
      </c>
      <c r="BP9" s="56">
        <v>44</v>
      </c>
      <c r="BQ9" s="56">
        <v>59</v>
      </c>
      <c r="BR9" s="56">
        <v>44</v>
      </c>
      <c r="BS9" s="56">
        <v>48</v>
      </c>
      <c r="BT9" s="56">
        <v>18</v>
      </c>
      <c r="BU9" s="151">
        <f>BO9+BP9+BQ9+BR9+BS9+BT9</f>
        <v>260</v>
      </c>
      <c r="BV9" s="69">
        <v>58</v>
      </c>
      <c r="BW9" s="69">
        <v>46</v>
      </c>
      <c r="BX9" s="69">
        <v>27</v>
      </c>
      <c r="BY9" s="69">
        <v>64</v>
      </c>
      <c r="BZ9" s="69">
        <v>53</v>
      </c>
      <c r="CA9" s="69">
        <v>34</v>
      </c>
      <c r="CB9" s="151">
        <f>BV9+BW9+BX9+BY9+BZ9+CA9</f>
        <v>282</v>
      </c>
      <c r="CC9" s="69">
        <v>56</v>
      </c>
      <c r="CD9" s="54">
        <v>41</v>
      </c>
      <c r="CE9" s="54">
        <v>50</v>
      </c>
      <c r="CF9" s="54">
        <v>55</v>
      </c>
      <c r="CG9" s="54">
        <v>67</v>
      </c>
      <c r="CH9" s="54">
        <v>38</v>
      </c>
      <c r="CI9" s="54">
        <f>CC9+CD9+CE9+CF9+CG9+CH9</f>
        <v>307</v>
      </c>
      <c r="CJ9" s="54">
        <v>46</v>
      </c>
      <c r="CK9" s="54">
        <v>39</v>
      </c>
      <c r="CL9" s="54">
        <v>45</v>
      </c>
      <c r="CM9" s="54">
        <v>49</v>
      </c>
      <c r="CN9" s="54">
        <v>36</v>
      </c>
      <c r="CO9" s="54">
        <v>23</v>
      </c>
      <c r="CP9" s="54">
        <f>CJ9+CK9+CL9+CM9+CN9+CO9</f>
        <v>238</v>
      </c>
      <c r="CQ9" s="54">
        <v>43</v>
      </c>
      <c r="CR9" s="54">
        <v>44</v>
      </c>
      <c r="CS9" s="54">
        <v>30</v>
      </c>
      <c r="CT9" s="54">
        <v>36</v>
      </c>
      <c r="CU9" s="54">
        <v>39</v>
      </c>
      <c r="CV9" s="54"/>
      <c r="CW9" s="54">
        <f>CQ9+CR9+CS9+CT9+CU9+CV9</f>
        <v>192</v>
      </c>
      <c r="CX9" s="54"/>
      <c r="CY9" s="56">
        <v>48</v>
      </c>
      <c r="CZ9" s="56">
        <v>52</v>
      </c>
      <c r="DA9" s="56">
        <v>53</v>
      </c>
      <c r="DB9" s="56">
        <v>45</v>
      </c>
      <c r="DC9" s="54"/>
      <c r="DD9" s="56">
        <f>CX9+CY9+CZ9+DA9+DB9+DC9</f>
        <v>198</v>
      </c>
      <c r="DE9" s="56">
        <v>40</v>
      </c>
      <c r="DF9" s="56">
        <v>42</v>
      </c>
      <c r="DG9" s="56">
        <v>33</v>
      </c>
      <c r="DH9" s="56">
        <v>52</v>
      </c>
      <c r="DI9" s="56">
        <v>40</v>
      </c>
      <c r="DJ9" s="56"/>
      <c r="DK9" s="56">
        <f>DE9+DF9+DG9+DH9+DI9+DJ9</f>
        <v>207</v>
      </c>
      <c r="DL9" s="56">
        <v>32</v>
      </c>
      <c r="DM9" s="56">
        <v>44</v>
      </c>
      <c r="DN9" s="56">
        <v>41</v>
      </c>
      <c r="DO9" s="56">
        <v>37</v>
      </c>
      <c r="DP9" s="56">
        <v>30</v>
      </c>
      <c r="DQ9" s="56"/>
      <c r="DR9" s="56">
        <f>DL9+DM9+DN9+DO9+DP9+DQ9</f>
        <v>184</v>
      </c>
      <c r="DS9" s="56">
        <v>48</v>
      </c>
      <c r="DT9" s="56">
        <v>28</v>
      </c>
      <c r="DU9" s="56">
        <v>35</v>
      </c>
      <c r="DV9" s="56">
        <v>24</v>
      </c>
      <c r="DW9" s="56"/>
      <c r="DX9" s="56"/>
      <c r="DY9" s="56">
        <f>DS9+DT9+DU9+DV9+DW9+DX9</f>
        <v>135</v>
      </c>
      <c r="DZ9" s="56">
        <v>52</v>
      </c>
      <c r="EA9" s="56">
        <v>29</v>
      </c>
      <c r="EB9" s="56">
        <v>30</v>
      </c>
      <c r="EC9" s="56">
        <v>26</v>
      </c>
      <c r="ED9" s="56">
        <v>36</v>
      </c>
      <c r="EE9" s="56"/>
      <c r="EF9" s="56"/>
      <c r="EG9" s="56">
        <f>DZ9+EA9+EB9+EC9+ED9+EE9</f>
        <v>173</v>
      </c>
      <c r="EH9" s="56">
        <v>14</v>
      </c>
      <c r="EI9" s="56">
        <v>20</v>
      </c>
      <c r="EJ9" s="56">
        <v>19</v>
      </c>
      <c r="EK9" s="56">
        <v>17</v>
      </c>
      <c r="EL9" s="56">
        <v>21</v>
      </c>
      <c r="EM9" s="56"/>
      <c r="EN9" s="56"/>
      <c r="EO9" s="56">
        <f>EI9+EJ9+EK9+EL9+EM9+EN9+EH9</f>
        <v>91</v>
      </c>
      <c r="EP9" s="56">
        <v>43</v>
      </c>
      <c r="EQ9" s="56">
        <v>30</v>
      </c>
      <c r="ER9" s="56">
        <v>43</v>
      </c>
      <c r="ES9" s="56">
        <v>30</v>
      </c>
      <c r="ET9" s="56">
        <v>36</v>
      </c>
      <c r="EU9" s="54"/>
      <c r="EV9" s="54"/>
      <c r="EW9" s="56">
        <f>EQ9+ER9+ES9+ET9+EU9+EV9+EP9</f>
        <v>182</v>
      </c>
      <c r="EX9" s="56">
        <v>25</v>
      </c>
      <c r="EY9" s="56">
        <v>13</v>
      </c>
      <c r="EZ9" s="56">
        <v>30</v>
      </c>
      <c r="FA9" s="56">
        <v>0</v>
      </c>
      <c r="FB9" s="56">
        <v>32</v>
      </c>
      <c r="FC9" s="54"/>
      <c r="FD9" s="54"/>
      <c r="FE9" s="56">
        <f>EY9+EZ9+FA9+FB9+FC9+FD9+EX9</f>
        <v>100</v>
      </c>
      <c r="FF9" s="56"/>
      <c r="FG9" s="56"/>
      <c r="FH9" s="56">
        <v>18</v>
      </c>
      <c r="FI9" s="56">
        <v>24</v>
      </c>
      <c r="FJ9" s="56">
        <v>28</v>
      </c>
      <c r="FK9" s="54"/>
      <c r="FL9" s="56">
        <f>FF9+FG9+FH9+FI9+FJ9+FK9</f>
        <v>70</v>
      </c>
      <c r="FM9" s="56"/>
      <c r="FN9" s="56">
        <v>24</v>
      </c>
      <c r="FO9" s="56">
        <v>25</v>
      </c>
      <c r="FP9" s="56">
        <v>52</v>
      </c>
      <c r="FQ9" s="56">
        <v>34</v>
      </c>
      <c r="FR9" s="54"/>
      <c r="FS9" s="54"/>
      <c r="FT9" s="56">
        <f>FM9+FN9+FO9+FP9+FQ9+FR9</f>
        <v>135</v>
      </c>
      <c r="FU9" s="56">
        <v>40</v>
      </c>
      <c r="FV9" s="56">
        <v>21</v>
      </c>
      <c r="FW9" s="56">
        <v>28</v>
      </c>
      <c r="FX9" s="56">
        <v>28</v>
      </c>
      <c r="FY9" s="56">
        <v>25</v>
      </c>
      <c r="FZ9" s="54"/>
      <c r="GA9" s="56">
        <f>FU9+FV9+FW9+FX9+FY9+FZ9</f>
        <v>142</v>
      </c>
      <c r="GB9" s="56"/>
      <c r="GC9" s="56"/>
      <c r="GD9" s="56"/>
      <c r="GE9" s="56"/>
      <c r="GF9" s="56"/>
      <c r="GG9" s="54"/>
      <c r="GH9" s="54"/>
      <c r="GI9" s="56">
        <v>29</v>
      </c>
      <c r="GJ9" s="56">
        <v>31</v>
      </c>
      <c r="GK9" s="56">
        <v>38</v>
      </c>
      <c r="GL9" s="56">
        <v>39</v>
      </c>
      <c r="GM9" s="56">
        <v>34</v>
      </c>
      <c r="GN9" s="54"/>
      <c r="GO9" s="56">
        <f>GI9+GJ9+GK9+GL9+GM9+GN9</f>
        <v>171</v>
      </c>
      <c r="GP9" s="56"/>
      <c r="GQ9" s="56">
        <v>40</v>
      </c>
      <c r="GR9" s="56">
        <v>37</v>
      </c>
      <c r="GS9" s="56">
        <v>36</v>
      </c>
      <c r="GT9" s="56">
        <v>39</v>
      </c>
      <c r="GU9" s="54"/>
      <c r="GV9" s="54"/>
      <c r="GW9" s="199">
        <f>GQ9+GR9+GS9+GT9+GU9+GV9</f>
        <v>152</v>
      </c>
      <c r="GX9" s="218">
        <v>57</v>
      </c>
      <c r="GY9" s="56">
        <v>34</v>
      </c>
      <c r="GZ9" s="56">
        <v>31</v>
      </c>
      <c r="HA9" s="56">
        <v>47</v>
      </c>
      <c r="HB9" s="56"/>
      <c r="HC9" s="54"/>
      <c r="HD9" s="89">
        <f>GX9+GY9+GZ9+HA9+HB9+HC9</f>
        <v>169</v>
      </c>
      <c r="HE9" s="218">
        <v>17</v>
      </c>
      <c r="HF9" s="56">
        <v>30</v>
      </c>
      <c r="HG9" s="56">
        <v>36</v>
      </c>
      <c r="HH9" s="56">
        <v>32</v>
      </c>
      <c r="HI9" s="56">
        <v>36</v>
      </c>
      <c r="HJ9" s="54"/>
      <c r="HK9" s="74"/>
    </row>
    <row r="10" spans="2:219" s="6" customFormat="1" ht="15.75" thickBot="1" x14ac:dyDescent="0.3">
      <c r="B10" s="322"/>
      <c r="C10" s="132" t="s">
        <v>110</v>
      </c>
      <c r="D10" s="156"/>
      <c r="E10" s="60"/>
      <c r="F10" s="60"/>
      <c r="G10" s="60"/>
      <c r="H10" s="60"/>
      <c r="I10" s="60"/>
      <c r="J10" s="60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7">
        <f t="shared" ref="BO10:BT10" si="29">BO9/BO3</f>
        <v>0.28484848484848485</v>
      </c>
      <c r="BP10" s="57">
        <f t="shared" si="29"/>
        <v>0.26190476190476192</v>
      </c>
      <c r="BQ10" s="57">
        <f t="shared" si="29"/>
        <v>0.33714285714285713</v>
      </c>
      <c r="BR10" s="57">
        <f t="shared" si="29"/>
        <v>0.33082706766917291</v>
      </c>
      <c r="BS10" s="57">
        <f t="shared" si="29"/>
        <v>0.2807017543859649</v>
      </c>
      <c r="BT10" s="57">
        <f t="shared" si="29"/>
        <v>0.32727272727272727</v>
      </c>
      <c r="BU10" s="114">
        <f>BU9/BU4</f>
        <v>0.29850746268656714</v>
      </c>
      <c r="BV10" s="57">
        <f t="shared" ref="BV10:CA10" si="30">BV9/BV3</f>
        <v>0.36708860759493672</v>
      </c>
      <c r="BW10" s="57">
        <f t="shared" si="30"/>
        <v>0.32167832167832167</v>
      </c>
      <c r="BX10" s="57">
        <f t="shared" si="30"/>
        <v>0.20300751879699247</v>
      </c>
      <c r="BY10" s="57">
        <f t="shared" si="30"/>
        <v>0.40764331210191085</v>
      </c>
      <c r="BZ10" s="57">
        <f t="shared" si="30"/>
        <v>0.29281767955801102</v>
      </c>
      <c r="CA10" s="57">
        <f t="shared" si="30"/>
        <v>0.28099173553719009</v>
      </c>
      <c r="CB10" s="114">
        <f>CB9/CB4</f>
        <v>0.30652173913043479</v>
      </c>
      <c r="CC10" s="57">
        <f t="shared" ref="CC10:CH10" si="31">CC9/CC3</f>
        <v>0.33333333333333331</v>
      </c>
      <c r="CD10" s="57">
        <f t="shared" si="31"/>
        <v>0.24404761904761904</v>
      </c>
      <c r="CE10" s="57">
        <f t="shared" si="31"/>
        <v>0.32467532467532467</v>
      </c>
      <c r="CF10" s="57">
        <f t="shared" si="31"/>
        <v>0.3089887640449438</v>
      </c>
      <c r="CG10" s="57">
        <f t="shared" si="31"/>
        <v>0.38728323699421963</v>
      </c>
      <c r="CH10" s="57">
        <f t="shared" si="31"/>
        <v>0.24203821656050956</v>
      </c>
      <c r="CI10" s="57">
        <f>CI9/CI4</f>
        <v>0.3101010101010101</v>
      </c>
      <c r="CJ10" s="57">
        <f t="shared" ref="CJ10:CM10" si="32">CJ9/CJ3</f>
        <v>0.29487179487179488</v>
      </c>
      <c r="CK10" s="57">
        <f t="shared" si="32"/>
        <v>0.23493975903614459</v>
      </c>
      <c r="CL10" s="57">
        <f t="shared" si="32"/>
        <v>0.24456521739130435</v>
      </c>
      <c r="CM10" s="57">
        <f t="shared" si="32"/>
        <v>0.2722222222222222</v>
      </c>
      <c r="CN10" s="57">
        <f t="shared" ref="CN10:CO10" si="33">CN9/CN3</f>
        <v>0.20809248554913296</v>
      </c>
      <c r="CO10" s="57">
        <f t="shared" si="33"/>
        <v>0.29487179487179488</v>
      </c>
      <c r="CP10" s="57">
        <f>CP9/CP4</f>
        <v>0.24285714285714285</v>
      </c>
      <c r="CQ10" s="57">
        <f t="shared" ref="CQ10:CU10" si="34">CQ9/CQ3</f>
        <v>0.215</v>
      </c>
      <c r="CR10" s="57">
        <f t="shared" si="34"/>
        <v>0.21782178217821782</v>
      </c>
      <c r="CS10" s="57">
        <f t="shared" si="34"/>
        <v>0.14150943396226415</v>
      </c>
      <c r="CT10" s="57">
        <f t="shared" si="34"/>
        <v>0.18367346938775511</v>
      </c>
      <c r="CU10" s="57">
        <f t="shared" si="34"/>
        <v>0.19597989949748743</v>
      </c>
      <c r="CV10" s="54"/>
      <c r="CW10" s="57">
        <f>CW9/CW4</f>
        <v>0.1893491124260355</v>
      </c>
      <c r="CX10" s="57"/>
      <c r="CY10" s="57">
        <f>CY9/CY3</f>
        <v>0.24742268041237114</v>
      </c>
      <c r="CZ10" s="57">
        <f>CZ9/CZ3</f>
        <v>0.24644549763033174</v>
      </c>
      <c r="DA10" s="57">
        <f>DA9/DA3</f>
        <v>0.3271604938271605</v>
      </c>
      <c r="DB10" s="57">
        <f>DB9/DB3</f>
        <v>0.24456521739130435</v>
      </c>
      <c r="DC10" s="54"/>
      <c r="DD10" s="57">
        <f>DD9/DD3</f>
        <v>0.23627684964200477</v>
      </c>
      <c r="DE10" s="57">
        <f>DE9/DE3</f>
        <v>0.20942408376963351</v>
      </c>
      <c r="DF10" s="57">
        <f t="shared" ref="DF10:DG10" si="35">DF9/DF3</f>
        <v>0.20895522388059701</v>
      </c>
      <c r="DG10" s="57">
        <f t="shared" si="35"/>
        <v>0.18333333333333332</v>
      </c>
      <c r="DH10" s="57">
        <f t="shared" ref="DH10:DI10" si="36">DH9/DH3</f>
        <v>0.25</v>
      </c>
      <c r="DI10" s="57">
        <f t="shared" si="36"/>
        <v>0.1941747572815534</v>
      </c>
      <c r="DJ10" s="57"/>
      <c r="DK10" s="57">
        <f>DK9/DK3</f>
        <v>0.2099391480730223</v>
      </c>
      <c r="DL10" s="57">
        <f t="shared" ref="DL10:DP10" si="37">DL9/DL3</f>
        <v>0.1702127659574468</v>
      </c>
      <c r="DM10" s="57">
        <f t="shared" si="37"/>
        <v>0.21256038647342995</v>
      </c>
      <c r="DN10" s="57">
        <f t="shared" si="37"/>
        <v>0.20603015075376885</v>
      </c>
      <c r="DO10" s="57">
        <f t="shared" si="37"/>
        <v>0.21893491124260356</v>
      </c>
      <c r="DP10" s="57">
        <f t="shared" si="37"/>
        <v>0.15873015873015872</v>
      </c>
      <c r="DQ10" s="56"/>
      <c r="DR10" s="57">
        <f>DR9/DR3</f>
        <v>0.19327731092436976</v>
      </c>
      <c r="DS10" s="57">
        <f t="shared" ref="DS10:DU10" si="38">DS9/DS3</f>
        <v>0.22325581395348837</v>
      </c>
      <c r="DT10" s="57">
        <f t="shared" si="38"/>
        <v>0.13023255813953488</v>
      </c>
      <c r="DU10" s="57">
        <f t="shared" si="38"/>
        <v>0.16279069767441862</v>
      </c>
      <c r="DV10" s="57">
        <f t="shared" ref="DV10" si="39">DV9/DV3</f>
        <v>0.11162790697674418</v>
      </c>
      <c r="DW10" s="56"/>
      <c r="DX10" s="56"/>
      <c r="DY10" s="57">
        <f>DY9/DY3</f>
        <v>0.15697674418604651</v>
      </c>
      <c r="DZ10" s="57">
        <f t="shared" ref="DZ10:EA10" si="40">DZ9/DZ3</f>
        <v>0.26943005181347152</v>
      </c>
      <c r="EA10" s="57">
        <f t="shared" si="40"/>
        <v>0.13942307692307693</v>
      </c>
      <c r="EB10" s="57">
        <f t="shared" ref="EB10:EC10" si="41">EB9/EB3</f>
        <v>0.14423076923076922</v>
      </c>
      <c r="EC10" s="57">
        <f t="shared" si="41"/>
        <v>0.12745098039215685</v>
      </c>
      <c r="ED10" s="57">
        <f t="shared" ref="ED10" si="42">ED9/ED3</f>
        <v>0.20809248554913296</v>
      </c>
      <c r="EE10" s="56"/>
      <c r="EF10" s="56"/>
      <c r="EG10" s="57">
        <f>EG9/EG3</f>
        <v>0.17545638945233266</v>
      </c>
      <c r="EH10" s="57">
        <f t="shared" ref="EH10:EJ10" si="43">EH9/EH3</f>
        <v>6.8965517241379309E-2</v>
      </c>
      <c r="EI10" s="57">
        <f t="shared" si="43"/>
        <v>9.4339622641509441E-2</v>
      </c>
      <c r="EJ10" s="57">
        <f t="shared" si="43"/>
        <v>9.5000000000000001E-2</v>
      </c>
      <c r="EK10" s="57">
        <f t="shared" ref="EK10:EL10" si="44">EK9/EK3</f>
        <v>8.9473684210526316E-2</v>
      </c>
      <c r="EL10" s="57">
        <f t="shared" si="44"/>
        <v>9.7674418604651161E-2</v>
      </c>
      <c r="EM10" s="56"/>
      <c r="EN10" s="56"/>
      <c r="EO10" s="57">
        <f>EO9/EO3</f>
        <v>8.9215686274509806E-2</v>
      </c>
      <c r="EP10" s="57">
        <f t="shared" ref="EP10:EQ10" si="45">EP9/EP3</f>
        <v>0.22395833333333334</v>
      </c>
      <c r="EQ10" s="57">
        <f t="shared" si="45"/>
        <v>0.15</v>
      </c>
      <c r="ER10" s="57">
        <f t="shared" ref="ER10:ET10" si="46">ER9/ER3</f>
        <v>0.2107843137254902</v>
      </c>
      <c r="ES10" s="57">
        <f t="shared" si="46"/>
        <v>0.14563106796116504</v>
      </c>
      <c r="ET10" s="57">
        <f t="shared" si="46"/>
        <v>0.17560975609756097</v>
      </c>
      <c r="EU10" s="54"/>
      <c r="EV10" s="54"/>
      <c r="EW10" s="57">
        <f>EW9/EW3</f>
        <v>0.18073485600794439</v>
      </c>
      <c r="EX10" s="57">
        <f t="shared" ref="EX10:EY10" si="47">EX9/EX3</f>
        <v>0.12755102040816327</v>
      </c>
      <c r="EY10" s="57">
        <f t="shared" si="47"/>
        <v>0.104</v>
      </c>
      <c r="EZ10" s="57">
        <f t="shared" ref="EZ10:FA10" si="48">EZ9/EZ3</f>
        <v>0.23622047244094488</v>
      </c>
      <c r="FA10" s="57" t="e">
        <f t="shared" si="48"/>
        <v>#DIV/0!</v>
      </c>
      <c r="FB10" s="57">
        <f t="shared" ref="FB10" si="49">FB9/FB3</f>
        <v>0.1702127659574468</v>
      </c>
      <c r="FC10" s="54"/>
      <c r="FD10" s="54"/>
      <c r="FE10" s="57">
        <f>FE9/FE3</f>
        <v>0.15723270440251572</v>
      </c>
      <c r="FF10" s="57"/>
      <c r="FG10" s="57"/>
      <c r="FH10" s="57">
        <f t="shared" ref="FH10:FI10" si="50">FH9/FH3</f>
        <v>0.12162162162162163</v>
      </c>
      <c r="FI10" s="57">
        <f t="shared" si="50"/>
        <v>0.14201183431952663</v>
      </c>
      <c r="FJ10" s="57">
        <f t="shared" ref="FJ10" si="51">FJ9/FJ3</f>
        <v>0.18064516129032257</v>
      </c>
      <c r="FK10" s="54"/>
      <c r="FL10" s="57">
        <f>FL9/FL3</f>
        <v>0.14830508474576271</v>
      </c>
      <c r="FM10" s="57"/>
      <c r="FN10" s="57">
        <f t="shared" ref="FN10:FO10" si="52">FN9/FN3</f>
        <v>0.15483870967741936</v>
      </c>
      <c r="FO10" s="57">
        <f t="shared" si="52"/>
        <v>0.12886597938144329</v>
      </c>
      <c r="FP10" s="57">
        <f t="shared" ref="FP10:FQ10" si="53">FP9/FP3</f>
        <v>0.26666666666666666</v>
      </c>
      <c r="FQ10" s="57">
        <f t="shared" si="53"/>
        <v>0.20359281437125748</v>
      </c>
      <c r="FR10" s="54"/>
      <c r="FS10" s="54"/>
      <c r="FT10" s="57">
        <f>FT9/FT3</f>
        <v>0.189873417721519</v>
      </c>
      <c r="FU10" s="57">
        <f t="shared" ref="FU10:FV10" si="54">FU9/FU3</f>
        <v>0.21739130434782608</v>
      </c>
      <c r="FV10" s="57">
        <f t="shared" si="54"/>
        <v>0.1111111111111111</v>
      </c>
      <c r="FW10" s="57">
        <f t="shared" ref="FW10:FX10" si="55">FW9/FW3</f>
        <v>0.16091954022988506</v>
      </c>
      <c r="FX10" s="57">
        <f t="shared" si="55"/>
        <v>0.16374269005847952</v>
      </c>
      <c r="FY10" s="57">
        <f t="shared" ref="FY10" si="56">FY9/FY3</f>
        <v>0.16129032258064516</v>
      </c>
      <c r="FZ10" s="54"/>
      <c r="GA10" s="57">
        <f>GA9/GA3</f>
        <v>0.16265750286368844</v>
      </c>
      <c r="GB10" s="57"/>
      <c r="GC10" s="57"/>
      <c r="GD10" s="57"/>
      <c r="GE10" s="56"/>
      <c r="GF10" s="56"/>
      <c r="GG10" s="54"/>
      <c r="GH10" s="54"/>
      <c r="GI10" s="57">
        <f t="shared" ref="GI10:GJ10" si="57">GI9/GI3</f>
        <v>0.39189189189189189</v>
      </c>
      <c r="GJ10" s="57">
        <f t="shared" si="57"/>
        <v>0.20394736842105263</v>
      </c>
      <c r="GK10" s="57">
        <f t="shared" ref="GK10:GL10" si="58">GK9/GK3</f>
        <v>0.21714285714285714</v>
      </c>
      <c r="GL10" s="57">
        <f t="shared" si="58"/>
        <v>0.25161290322580643</v>
      </c>
      <c r="GM10" s="57">
        <f t="shared" ref="GM10" si="59">GM9/GM3</f>
        <v>0.20238095238095238</v>
      </c>
      <c r="GN10" s="54"/>
      <c r="GO10" s="57">
        <f>GO9/GO3</f>
        <v>0.23618784530386741</v>
      </c>
      <c r="GP10" s="57"/>
      <c r="GQ10" s="57">
        <f t="shared" ref="GQ10:GT10" si="60">GQ9/GQ3</f>
        <v>0.27027027027027029</v>
      </c>
      <c r="GR10" s="57">
        <f t="shared" si="60"/>
        <v>0.22023809523809523</v>
      </c>
      <c r="GS10" s="57">
        <f t="shared" si="60"/>
        <v>0.21951219512195122</v>
      </c>
      <c r="GT10" s="57">
        <f t="shared" si="60"/>
        <v>0.23636363636363636</v>
      </c>
      <c r="GU10" s="54"/>
      <c r="GV10" s="54"/>
      <c r="GW10" s="198">
        <f>GW9/GW3</f>
        <v>0.23565891472868217</v>
      </c>
      <c r="GX10" s="220">
        <f t="shared" ref="GX10:GY10" si="61">GX9/GX3</f>
        <v>0.3904109589041096</v>
      </c>
      <c r="GY10" s="57">
        <f t="shared" si="61"/>
        <v>0.22972972972972974</v>
      </c>
      <c r="GZ10" s="57">
        <f t="shared" ref="GZ10:HA10" si="62">GZ9/GZ3</f>
        <v>0.20394736842105263</v>
      </c>
      <c r="HA10" s="57">
        <f t="shared" si="62"/>
        <v>0.32191780821917809</v>
      </c>
      <c r="HB10" s="56"/>
      <c r="HC10" s="54"/>
      <c r="HD10" s="221">
        <f>HD9/HD3</f>
        <v>0.28547297297297297</v>
      </c>
      <c r="HE10" s="220">
        <f t="shared" ref="HE10:HI10" si="63">HE9/HE3</f>
        <v>0.10303030303030303</v>
      </c>
      <c r="HF10" s="289">
        <f t="shared" si="63"/>
        <v>0.20547945205479451</v>
      </c>
      <c r="HG10" s="289">
        <f t="shared" si="63"/>
        <v>0.23841059602649006</v>
      </c>
      <c r="HH10" s="289">
        <f t="shared" si="63"/>
        <v>0.17582417582417584</v>
      </c>
      <c r="HI10" s="289">
        <f t="shared" si="63"/>
        <v>0.20571428571428571</v>
      </c>
      <c r="HJ10" s="54"/>
      <c r="HK10" s="74"/>
    </row>
    <row r="11" spans="2:219" s="6" customFormat="1" ht="19.5" thickBot="1" x14ac:dyDescent="0.35">
      <c r="B11" s="322"/>
      <c r="C11" s="132" t="s">
        <v>109</v>
      </c>
      <c r="D11" s="156"/>
      <c r="E11" s="60"/>
      <c r="F11" s="60"/>
      <c r="G11" s="60"/>
      <c r="H11" s="60"/>
      <c r="I11" s="60"/>
      <c r="J11" s="60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7"/>
      <c r="BP11" s="57"/>
      <c r="BQ11" s="57"/>
      <c r="BR11" s="57"/>
      <c r="BS11" s="57"/>
      <c r="BT11" s="57"/>
      <c r="BU11" s="114"/>
      <c r="BV11" s="57"/>
      <c r="BW11" s="57"/>
      <c r="BX11" s="57"/>
      <c r="BY11" s="57"/>
      <c r="BZ11" s="57"/>
      <c r="CA11" s="57"/>
      <c r="CB11" s="114"/>
      <c r="CC11" s="57"/>
      <c r="CD11" s="57"/>
      <c r="CE11" s="57">
        <f>+((7*2)+(3*1))/((45*8))</f>
        <v>4.7222222222222221E-2</v>
      </c>
      <c r="CF11" s="57">
        <f>+((5*2)+(2*1))/((45*8))</f>
        <v>3.3333333333333333E-2</v>
      </c>
      <c r="CG11" s="57">
        <f>+((5*2)+(2*1))/((45*8))</f>
        <v>3.3333333333333333E-2</v>
      </c>
      <c r="CH11" s="57"/>
      <c r="CI11" s="56"/>
      <c r="CJ11" s="113">
        <v>0</v>
      </c>
      <c r="CK11" s="113">
        <v>0</v>
      </c>
      <c r="CL11" s="113">
        <v>0</v>
      </c>
      <c r="CM11" s="113">
        <v>0</v>
      </c>
      <c r="CN11" s="113">
        <v>0</v>
      </c>
      <c r="CO11" s="54"/>
      <c r="CP11" s="113">
        <f>AVERAGE(CJ11:CN11)</f>
        <v>0</v>
      </c>
      <c r="CQ11" s="113">
        <v>0</v>
      </c>
      <c r="CR11" s="113"/>
      <c r="CS11" s="113"/>
      <c r="CT11" s="54"/>
      <c r="CU11" s="54"/>
      <c r="CV11" s="54"/>
      <c r="CW11" s="113">
        <f>AVERAGE(CQ11:CU11)</f>
        <v>0</v>
      </c>
      <c r="CX11" s="113"/>
      <c r="CY11" s="113"/>
      <c r="CZ11" s="113"/>
      <c r="DA11" s="54"/>
      <c r="DB11" s="54"/>
      <c r="DC11" s="54"/>
      <c r="DD11" s="113"/>
      <c r="DE11" s="113"/>
      <c r="DF11" s="113"/>
      <c r="DG11" s="113"/>
      <c r="DH11" s="54"/>
      <c r="DI11" s="54"/>
      <c r="DJ11" s="54"/>
      <c r="DK11" s="54"/>
      <c r="DL11" s="54"/>
      <c r="DM11" s="113"/>
      <c r="DN11" s="113"/>
      <c r="DO11" s="56"/>
      <c r="DP11" s="56"/>
      <c r="DQ11" s="56"/>
      <c r="DR11" s="113"/>
      <c r="DS11" s="113"/>
      <c r="DT11" s="113"/>
      <c r="DU11" s="113"/>
      <c r="DV11" s="56"/>
      <c r="DW11" s="56"/>
      <c r="DX11" s="56"/>
      <c r="DY11" s="113"/>
      <c r="DZ11" s="113"/>
      <c r="EA11" s="113"/>
      <c r="EB11" s="113"/>
      <c r="EC11" s="56"/>
      <c r="ED11" s="56"/>
      <c r="EE11" s="56"/>
      <c r="EF11" s="56"/>
      <c r="EG11" s="113"/>
      <c r="EH11" s="113"/>
      <c r="EI11" s="113"/>
      <c r="EJ11" s="113"/>
      <c r="EK11" s="56"/>
      <c r="EL11" s="56"/>
      <c r="EM11" s="56"/>
      <c r="EN11" s="56"/>
      <c r="EO11" s="113"/>
      <c r="EP11" s="113"/>
      <c r="EQ11" s="113"/>
      <c r="ER11" s="113"/>
      <c r="ES11" s="56"/>
      <c r="ET11" s="56"/>
      <c r="EU11" s="54"/>
      <c r="EV11" s="54"/>
      <c r="EW11" s="54"/>
      <c r="EX11" s="113"/>
      <c r="EY11" s="113"/>
      <c r="EZ11" s="113"/>
      <c r="FA11" s="113"/>
      <c r="FB11" s="56"/>
      <c r="FC11" s="54"/>
      <c r="FD11" s="54"/>
      <c r="FE11" s="54"/>
      <c r="FF11" s="113"/>
      <c r="FG11" s="113"/>
      <c r="FH11" s="113"/>
      <c r="FI11" s="56"/>
      <c r="FJ11" s="56"/>
      <c r="FK11" s="54"/>
      <c r="FL11" s="54"/>
      <c r="FM11" s="113"/>
      <c r="FN11" s="113"/>
      <c r="FO11" s="113"/>
      <c r="FP11" s="56"/>
      <c r="FQ11" s="56"/>
      <c r="FR11" s="56"/>
      <c r="FS11" s="56"/>
      <c r="FT11" s="87"/>
      <c r="FU11" s="56"/>
      <c r="FV11" s="113"/>
      <c r="FW11" s="113"/>
      <c r="FX11" s="56"/>
      <c r="FY11" s="56"/>
      <c r="FZ11" s="54"/>
      <c r="GA11" s="54"/>
      <c r="GB11" s="113"/>
      <c r="GC11" s="113"/>
      <c r="GD11" s="113"/>
      <c r="GE11" s="56"/>
      <c r="GF11" s="56"/>
      <c r="GG11" s="54"/>
      <c r="GH11" s="54"/>
      <c r="GI11" s="113"/>
      <c r="GJ11" s="113"/>
      <c r="GK11" s="113"/>
      <c r="GL11" s="56"/>
      <c r="GM11" s="56"/>
      <c r="GN11" s="54"/>
      <c r="GO11" s="54"/>
      <c r="GP11" s="113"/>
      <c r="GQ11" s="113"/>
      <c r="GR11" s="113"/>
      <c r="GS11" s="56"/>
      <c r="GT11" s="56"/>
      <c r="GU11" s="54"/>
      <c r="GV11" s="54"/>
      <c r="GW11" s="194"/>
      <c r="GX11" s="220">
        <v>0</v>
      </c>
      <c r="GY11" s="57">
        <v>0</v>
      </c>
      <c r="GZ11" s="57">
        <f>+((6*2)+(1*1))/((35*8))</f>
        <v>4.642857142857143E-2</v>
      </c>
      <c r="HA11" s="57">
        <f>+(4*2)/(35*8)</f>
        <v>2.8571428571428571E-2</v>
      </c>
      <c r="HB11" s="56"/>
      <c r="HC11" s="54"/>
      <c r="HD11" s="240">
        <f>AVERAGE(GX11:HA11)</f>
        <v>1.8749999999999999E-2</v>
      </c>
      <c r="HE11" s="220"/>
      <c r="HF11" s="113"/>
      <c r="HG11" s="113"/>
      <c r="HH11" s="57">
        <f>+(15*2)/(35*8)</f>
        <v>0.10714285714285714</v>
      </c>
      <c r="HI11" s="56"/>
      <c r="HJ11" s="54"/>
      <c r="HK11" s="74"/>
    </row>
    <row r="12" spans="2:219" s="6" customFormat="1" ht="19.5" thickBot="1" x14ac:dyDescent="0.35">
      <c r="B12" s="322"/>
      <c r="C12" s="111" t="s">
        <v>179</v>
      </c>
      <c r="D12" s="156"/>
      <c r="E12" s="60"/>
      <c r="F12" s="60"/>
      <c r="G12" s="60"/>
      <c r="H12" s="60"/>
      <c r="I12" s="60"/>
      <c r="J12" s="60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7"/>
      <c r="BP12" s="57"/>
      <c r="BQ12" s="57"/>
      <c r="BR12" s="57"/>
      <c r="BS12" s="57"/>
      <c r="BT12" s="57"/>
      <c r="BU12" s="114"/>
      <c r="BV12" s="57"/>
      <c r="BW12" s="57"/>
      <c r="BX12" s="57"/>
      <c r="BY12" s="57"/>
      <c r="BZ12" s="57"/>
      <c r="CA12" s="57"/>
      <c r="CB12" s="114"/>
      <c r="CC12" s="57"/>
      <c r="CD12" s="57"/>
      <c r="CE12" s="57"/>
      <c r="CF12" s="57"/>
      <c r="CG12" s="57"/>
      <c r="CH12" s="57"/>
      <c r="CI12" s="56"/>
      <c r="CJ12" s="113"/>
      <c r="CK12" s="113"/>
      <c r="CL12" s="113"/>
      <c r="CM12" s="113"/>
      <c r="CN12" s="113"/>
      <c r="CO12" s="54"/>
      <c r="CP12" s="113"/>
      <c r="CQ12" s="113"/>
      <c r="CR12" s="113"/>
      <c r="CS12" s="113"/>
      <c r="CT12" s="54"/>
      <c r="CU12" s="54"/>
      <c r="CV12" s="54"/>
      <c r="CW12" s="113"/>
      <c r="CX12" s="113"/>
      <c r="CY12" s="113"/>
      <c r="CZ12" s="113"/>
      <c r="DA12" s="54"/>
      <c r="DB12" s="54"/>
      <c r="DC12" s="54"/>
      <c r="DD12" s="113"/>
      <c r="DE12" s="113"/>
      <c r="DF12" s="113"/>
      <c r="DG12" s="113"/>
      <c r="DH12" s="54"/>
      <c r="DI12" s="54"/>
      <c r="DJ12" s="54"/>
      <c r="DK12" s="54"/>
      <c r="DL12" s="54"/>
      <c r="DM12" s="113"/>
      <c r="DN12" s="113"/>
      <c r="DO12" s="56"/>
      <c r="DP12" s="56"/>
      <c r="DQ12" s="56"/>
      <c r="DR12" s="113"/>
      <c r="DS12" s="113"/>
      <c r="DT12" s="113"/>
      <c r="DU12" s="113"/>
      <c r="DV12" s="56"/>
      <c r="DW12" s="56"/>
      <c r="DX12" s="56"/>
      <c r="DY12" s="113"/>
      <c r="DZ12" s="113"/>
      <c r="EA12" s="113"/>
      <c r="EB12" s="113"/>
      <c r="EC12" s="56"/>
      <c r="ED12" s="56"/>
      <c r="EE12" s="56"/>
      <c r="EF12" s="56"/>
      <c r="EG12" s="113"/>
      <c r="EH12" s="113"/>
      <c r="EI12" s="113"/>
      <c r="EJ12" s="113"/>
      <c r="EK12" s="56"/>
      <c r="EL12" s="56"/>
      <c r="EM12" s="56"/>
      <c r="EN12" s="56"/>
      <c r="EO12" s="113"/>
      <c r="EP12" s="113"/>
      <c r="EQ12" s="113"/>
      <c r="ER12" s="113"/>
      <c r="ES12" s="56"/>
      <c r="ET12" s="56"/>
      <c r="EU12" s="54"/>
      <c r="EV12" s="54"/>
      <c r="EW12" s="54"/>
      <c r="EX12" s="113"/>
      <c r="EY12" s="113"/>
      <c r="EZ12" s="113"/>
      <c r="FA12" s="113"/>
      <c r="FB12" s="56"/>
      <c r="FC12" s="54"/>
      <c r="FD12" s="54"/>
      <c r="FE12" s="54"/>
      <c r="FF12" s="113"/>
      <c r="FG12" s="113"/>
      <c r="FH12" s="113"/>
      <c r="FI12" s="56"/>
      <c r="FJ12" s="56"/>
      <c r="FK12" s="54"/>
      <c r="FL12" s="54"/>
      <c r="FM12" s="113"/>
      <c r="FN12" s="113"/>
      <c r="FO12" s="113"/>
      <c r="FP12" s="56"/>
      <c r="FQ12" s="56"/>
      <c r="FR12" s="56"/>
      <c r="FS12" s="56"/>
      <c r="FT12" s="87"/>
      <c r="FU12" s="56"/>
      <c r="FV12" s="113"/>
      <c r="FW12" s="113"/>
      <c r="FX12" s="56"/>
      <c r="FY12" s="56"/>
      <c r="FZ12" s="54"/>
      <c r="GA12" s="54"/>
      <c r="GB12" s="113"/>
      <c r="GC12" s="113"/>
      <c r="GD12" s="113"/>
      <c r="GE12" s="56"/>
      <c r="GF12" s="56"/>
      <c r="GG12" s="54"/>
      <c r="GH12" s="54"/>
      <c r="GI12" s="113"/>
      <c r="GJ12" s="113"/>
      <c r="GK12" s="113"/>
      <c r="GL12" s="56"/>
      <c r="GM12" s="56"/>
      <c r="GN12" s="54"/>
      <c r="GO12" s="54"/>
      <c r="GP12" s="113"/>
      <c r="GQ12" s="69">
        <v>126</v>
      </c>
      <c r="GR12" s="69">
        <v>136</v>
      </c>
      <c r="GS12" s="69">
        <v>94</v>
      </c>
      <c r="GT12" s="69">
        <v>67</v>
      </c>
      <c r="GU12" s="69"/>
      <c r="GV12" s="69"/>
      <c r="GW12" s="194"/>
      <c r="GX12" s="222">
        <v>142</v>
      </c>
      <c r="GY12" s="69">
        <v>122</v>
      </c>
      <c r="GZ12" s="69">
        <v>82</v>
      </c>
      <c r="HA12" s="69">
        <v>41</v>
      </c>
      <c r="HB12" s="69"/>
      <c r="HC12" s="69"/>
      <c r="HD12" s="74"/>
      <c r="HE12" s="222">
        <v>160</v>
      </c>
      <c r="HF12" s="285">
        <v>160</v>
      </c>
      <c r="HG12" s="285">
        <v>54</v>
      </c>
      <c r="HH12" s="285">
        <v>16</v>
      </c>
      <c r="HI12" s="285">
        <v>16</v>
      </c>
      <c r="HJ12" s="285"/>
      <c r="HK12" s="287"/>
    </row>
    <row r="13" spans="2:219" s="6" customFormat="1" ht="19.5" thickBot="1" x14ac:dyDescent="0.35">
      <c r="B13" s="322"/>
      <c r="C13" s="112" t="s">
        <v>189</v>
      </c>
      <c r="D13" s="242"/>
      <c r="E13" s="243"/>
      <c r="F13" s="243"/>
      <c r="G13" s="243"/>
      <c r="H13" s="243"/>
      <c r="I13" s="243"/>
      <c r="J13" s="243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5"/>
      <c r="BP13" s="245"/>
      <c r="BQ13" s="245"/>
      <c r="BR13" s="245"/>
      <c r="BS13" s="245"/>
      <c r="BT13" s="245"/>
      <c r="BU13" s="246"/>
      <c r="BV13" s="245"/>
      <c r="BW13" s="245"/>
      <c r="BX13" s="245"/>
      <c r="BY13" s="245"/>
      <c r="BZ13" s="245"/>
      <c r="CA13" s="245"/>
      <c r="CB13" s="246"/>
      <c r="CC13" s="245"/>
      <c r="CD13" s="245"/>
      <c r="CE13" s="245"/>
      <c r="CF13" s="245"/>
      <c r="CG13" s="245"/>
      <c r="CH13" s="245"/>
      <c r="CI13" s="244"/>
      <c r="CJ13" s="247"/>
      <c r="CK13" s="247"/>
      <c r="CL13" s="247"/>
      <c r="CM13" s="247"/>
      <c r="CN13" s="247"/>
      <c r="CO13" s="248"/>
      <c r="CP13" s="247"/>
      <c r="CQ13" s="247"/>
      <c r="CR13" s="247"/>
      <c r="CS13" s="247"/>
      <c r="CT13" s="248"/>
      <c r="CU13" s="248"/>
      <c r="CV13" s="248"/>
      <c r="CW13" s="247"/>
      <c r="CX13" s="247"/>
      <c r="CY13" s="247"/>
      <c r="CZ13" s="247"/>
      <c r="DA13" s="248"/>
      <c r="DB13" s="248"/>
      <c r="DC13" s="248"/>
      <c r="DD13" s="247"/>
      <c r="DE13" s="247"/>
      <c r="DF13" s="247"/>
      <c r="DG13" s="247"/>
      <c r="DH13" s="248"/>
      <c r="DI13" s="248"/>
      <c r="DJ13" s="248"/>
      <c r="DK13" s="248"/>
      <c r="DL13" s="248"/>
      <c r="DM13" s="247"/>
      <c r="DN13" s="247"/>
      <c r="DO13" s="244"/>
      <c r="DP13" s="244"/>
      <c r="DQ13" s="244"/>
      <c r="DR13" s="247"/>
      <c r="DS13" s="247"/>
      <c r="DT13" s="247"/>
      <c r="DU13" s="247"/>
      <c r="DV13" s="244"/>
      <c r="DW13" s="244"/>
      <c r="DX13" s="244"/>
      <c r="DY13" s="247"/>
      <c r="DZ13" s="247"/>
      <c r="EA13" s="247"/>
      <c r="EB13" s="247"/>
      <c r="EC13" s="244"/>
      <c r="ED13" s="244"/>
      <c r="EE13" s="244"/>
      <c r="EF13" s="244"/>
      <c r="EG13" s="247"/>
      <c r="EH13" s="247"/>
      <c r="EI13" s="247"/>
      <c r="EJ13" s="247"/>
      <c r="EK13" s="244"/>
      <c r="EL13" s="244"/>
      <c r="EM13" s="244"/>
      <c r="EN13" s="244"/>
      <c r="EO13" s="247"/>
      <c r="EP13" s="247"/>
      <c r="EQ13" s="247"/>
      <c r="ER13" s="247"/>
      <c r="ES13" s="244"/>
      <c r="ET13" s="244"/>
      <c r="EU13" s="248"/>
      <c r="EV13" s="248"/>
      <c r="EW13" s="248"/>
      <c r="EX13" s="247"/>
      <c r="EY13" s="247"/>
      <c r="EZ13" s="247"/>
      <c r="FA13" s="247"/>
      <c r="FB13" s="244"/>
      <c r="FC13" s="248"/>
      <c r="FD13" s="248"/>
      <c r="FE13" s="248"/>
      <c r="FF13" s="247"/>
      <c r="FG13" s="247"/>
      <c r="FH13" s="247"/>
      <c r="FI13" s="244"/>
      <c r="FJ13" s="244"/>
      <c r="FK13" s="248"/>
      <c r="FL13" s="248"/>
      <c r="FM13" s="247"/>
      <c r="FN13" s="247"/>
      <c r="FO13" s="247"/>
      <c r="FP13" s="244"/>
      <c r="FQ13" s="244"/>
      <c r="FR13" s="244"/>
      <c r="FS13" s="244"/>
      <c r="FT13" s="249"/>
      <c r="FU13" s="244"/>
      <c r="FV13" s="247"/>
      <c r="FW13" s="247"/>
      <c r="FX13" s="244"/>
      <c r="FY13" s="244"/>
      <c r="FZ13" s="248"/>
      <c r="GA13" s="248"/>
      <c r="GB13" s="247"/>
      <c r="GC13" s="247"/>
      <c r="GD13" s="247"/>
      <c r="GE13" s="244"/>
      <c r="GF13" s="244"/>
      <c r="GG13" s="248"/>
      <c r="GH13" s="248"/>
      <c r="GI13" s="247"/>
      <c r="GJ13" s="247"/>
      <c r="GK13" s="247"/>
      <c r="GL13" s="244"/>
      <c r="GM13" s="244"/>
      <c r="GN13" s="248"/>
      <c r="GO13" s="248"/>
      <c r="GP13" s="247"/>
      <c r="GQ13" s="244">
        <v>46</v>
      </c>
      <c r="GR13" s="244">
        <v>90</v>
      </c>
      <c r="GS13" s="244">
        <v>80</v>
      </c>
      <c r="GT13" s="244">
        <v>89</v>
      </c>
      <c r="GU13" s="244"/>
      <c r="GV13" s="244"/>
      <c r="GW13" s="250"/>
      <c r="GX13" s="251">
        <v>52</v>
      </c>
      <c r="GY13" s="244">
        <v>73</v>
      </c>
      <c r="GZ13" s="244">
        <v>97</v>
      </c>
      <c r="HA13" s="244">
        <v>90</v>
      </c>
      <c r="HB13" s="244"/>
      <c r="HC13" s="244"/>
      <c r="HD13" s="252"/>
      <c r="HE13" s="251">
        <v>46</v>
      </c>
      <c r="HF13" s="286">
        <v>85</v>
      </c>
      <c r="HG13" s="286">
        <v>87</v>
      </c>
      <c r="HH13" s="286">
        <v>71</v>
      </c>
      <c r="HI13" s="286">
        <v>88</v>
      </c>
      <c r="HJ13" s="286"/>
      <c r="HK13" s="288"/>
    </row>
    <row r="14" spans="2:219" ht="15" customHeight="1" thickBot="1" x14ac:dyDescent="0.3">
      <c r="B14" s="322" t="s">
        <v>1</v>
      </c>
      <c r="C14" s="131" t="s">
        <v>4</v>
      </c>
      <c r="D14" s="148"/>
      <c r="E14" s="65"/>
      <c r="F14" s="65"/>
      <c r="G14" s="65"/>
      <c r="H14" s="65"/>
      <c r="I14" s="65"/>
      <c r="J14" s="6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>
        <v>31</v>
      </c>
      <c r="AO14" s="66">
        <v>28</v>
      </c>
      <c r="AP14" s="66">
        <v>35</v>
      </c>
      <c r="AQ14" s="66">
        <v>31</v>
      </c>
      <c r="AR14" s="66"/>
      <c r="AS14" s="66"/>
      <c r="AT14" s="66">
        <v>31</v>
      </c>
      <c r="AU14" s="66">
        <v>40</v>
      </c>
      <c r="AV14" s="66">
        <v>43</v>
      </c>
      <c r="AW14" s="66">
        <v>42</v>
      </c>
      <c r="AX14" s="66">
        <v>26</v>
      </c>
      <c r="AY14" s="66"/>
      <c r="AZ14" s="66"/>
      <c r="BA14" s="66">
        <v>31</v>
      </c>
      <c r="BB14" s="66">
        <v>41</v>
      </c>
      <c r="BC14" s="66">
        <v>33</v>
      </c>
      <c r="BD14" s="66">
        <v>40</v>
      </c>
      <c r="BE14" s="66">
        <v>20</v>
      </c>
      <c r="BF14" s="66"/>
      <c r="BG14" s="66"/>
      <c r="BH14" s="66">
        <v>21</v>
      </c>
      <c r="BI14" s="66">
        <v>47</v>
      </c>
      <c r="BJ14" s="66">
        <v>61</v>
      </c>
      <c r="BK14" s="66">
        <v>61</v>
      </c>
      <c r="BL14" s="66">
        <v>63</v>
      </c>
      <c r="BM14" s="66"/>
      <c r="BN14" s="66"/>
      <c r="BO14" s="66">
        <v>62</v>
      </c>
      <c r="BP14" s="66">
        <v>73</v>
      </c>
      <c r="BQ14" s="66">
        <v>71</v>
      </c>
      <c r="BR14" s="66">
        <v>80</v>
      </c>
      <c r="BS14" s="66">
        <v>65</v>
      </c>
      <c r="BT14" s="66"/>
      <c r="BU14" s="149">
        <f>BO14+BP14+BQ14+BR14+BS14+BT14</f>
        <v>351</v>
      </c>
      <c r="BV14" s="66">
        <v>94</v>
      </c>
      <c r="BW14" s="66">
        <v>100</v>
      </c>
      <c r="BX14" s="66">
        <v>96</v>
      </c>
      <c r="BY14" s="66">
        <v>106</v>
      </c>
      <c r="BZ14" s="66">
        <v>95</v>
      </c>
      <c r="CA14" s="66"/>
      <c r="CB14" s="149">
        <f>BV14+BW14+BX14+BY14+BZ14+CA14</f>
        <v>491</v>
      </c>
      <c r="CC14" s="66">
        <v>143</v>
      </c>
      <c r="CD14" s="66">
        <v>183</v>
      </c>
      <c r="CE14" s="66">
        <v>140</v>
      </c>
      <c r="CF14" s="66">
        <v>162</v>
      </c>
      <c r="CG14" s="66">
        <v>135</v>
      </c>
      <c r="CH14" s="66">
        <v>107</v>
      </c>
      <c r="CI14" s="66">
        <f>CC14+CD14+CE14+CF14+CG14+CH14</f>
        <v>870</v>
      </c>
      <c r="CJ14" s="66">
        <v>194</v>
      </c>
      <c r="CK14" s="66">
        <v>240</v>
      </c>
      <c r="CL14" s="66">
        <v>245</v>
      </c>
      <c r="CM14" s="66">
        <v>232</v>
      </c>
      <c r="CN14" s="66">
        <v>191</v>
      </c>
      <c r="CO14" s="66"/>
      <c r="CP14" s="66">
        <f>CJ14+CK14+CL14+CM14+CN14+CO14</f>
        <v>1102</v>
      </c>
      <c r="CQ14" s="66">
        <f>187+7</f>
        <v>194</v>
      </c>
      <c r="CR14" s="66">
        <f>188+6</f>
        <v>194</v>
      </c>
      <c r="CS14" s="66">
        <v>213</v>
      </c>
      <c r="CT14" s="66">
        <v>230</v>
      </c>
      <c r="CU14" s="66">
        <v>197</v>
      </c>
      <c r="CV14" s="66"/>
      <c r="CW14" s="66">
        <f>CQ14+CR14+CS14+CT14+CU14+CV14</f>
        <v>1028</v>
      </c>
      <c r="CX14" s="66"/>
      <c r="CY14" s="66">
        <v>200</v>
      </c>
      <c r="CZ14" s="66">
        <v>212</v>
      </c>
      <c r="DA14" s="66">
        <v>206</v>
      </c>
      <c r="DB14" s="66">
        <v>206</v>
      </c>
      <c r="DC14" s="66"/>
      <c r="DD14" s="66">
        <f>CX14+CY14+CZ14+DA14+DB14+DC14</f>
        <v>824</v>
      </c>
      <c r="DE14" s="66">
        <v>181</v>
      </c>
      <c r="DF14" s="66">
        <v>184</v>
      </c>
      <c r="DG14" s="66">
        <v>161</v>
      </c>
      <c r="DH14" s="66">
        <v>201</v>
      </c>
      <c r="DI14" s="66">
        <v>201</v>
      </c>
      <c r="DJ14" s="66"/>
      <c r="DK14" s="66">
        <v>206</v>
      </c>
      <c r="DL14" s="66">
        <v>208</v>
      </c>
      <c r="DM14" s="66">
        <v>202</v>
      </c>
      <c r="DN14" s="66">
        <v>216</v>
      </c>
      <c r="DO14" s="66">
        <v>196</v>
      </c>
      <c r="DP14" s="66">
        <v>196</v>
      </c>
      <c r="DQ14" s="66"/>
      <c r="DR14" s="66">
        <f>DL14+DM14+DN14+DO14+DP14+DQ14</f>
        <v>1018</v>
      </c>
      <c r="DS14" s="66">
        <v>215</v>
      </c>
      <c r="DT14" s="66">
        <v>215</v>
      </c>
      <c r="DU14" s="66">
        <v>203</v>
      </c>
      <c r="DV14" s="66">
        <v>202</v>
      </c>
      <c r="DW14" s="66"/>
      <c r="DX14" s="66"/>
      <c r="DY14" s="66">
        <f>DS14+DT14+DU14+DV14+DW14+DX14</f>
        <v>835</v>
      </c>
      <c r="DZ14" s="66">
        <v>215</v>
      </c>
      <c r="EA14" s="66">
        <v>210</v>
      </c>
      <c r="EB14" s="66">
        <v>203</v>
      </c>
      <c r="EC14" s="66">
        <v>205</v>
      </c>
      <c r="ED14" s="66">
        <v>216</v>
      </c>
      <c r="EE14" s="66"/>
      <c r="EF14" s="66"/>
      <c r="EG14" s="66">
        <f>DZ14+EA14+EB14+EC14+ED14+EE14</f>
        <v>1049</v>
      </c>
      <c r="EH14" s="66">
        <v>198</v>
      </c>
      <c r="EI14" s="66">
        <v>210</v>
      </c>
      <c r="EJ14" s="66">
        <v>203</v>
      </c>
      <c r="EK14" s="66">
        <v>206</v>
      </c>
      <c r="EL14" s="66">
        <v>203</v>
      </c>
      <c r="EM14" s="66"/>
      <c r="EN14" s="66"/>
      <c r="EO14" s="66">
        <f>EI14+EJ14+EK14+EL14+EM14+EN14+EH14</f>
        <v>1020</v>
      </c>
      <c r="EP14" s="66">
        <v>198</v>
      </c>
      <c r="EQ14" s="66">
        <v>215</v>
      </c>
      <c r="ER14" s="66">
        <v>215</v>
      </c>
      <c r="ES14" s="66">
        <v>202</v>
      </c>
      <c r="ET14" s="66">
        <v>215</v>
      </c>
      <c r="EU14" s="66"/>
      <c r="EV14" s="66"/>
      <c r="EW14" s="66">
        <f>EQ14+ER14+ES14+ET14+EU14+EV14+EP14</f>
        <v>1045</v>
      </c>
      <c r="EX14" s="66">
        <v>154</v>
      </c>
      <c r="EY14" s="66">
        <v>135</v>
      </c>
      <c r="EZ14" s="66">
        <v>193</v>
      </c>
      <c r="FA14" s="66">
        <v>157</v>
      </c>
      <c r="FB14" s="66">
        <v>187</v>
      </c>
      <c r="FC14" s="66"/>
      <c r="FD14" s="66"/>
      <c r="FE14" s="66">
        <f>EY14+EZ14+FA14+FB14+FC14+FD14+EX14</f>
        <v>826</v>
      </c>
      <c r="FF14" s="66"/>
      <c r="FG14" s="66"/>
      <c r="FH14" s="66">
        <v>192</v>
      </c>
      <c r="FI14" s="66">
        <v>184</v>
      </c>
      <c r="FJ14" s="66">
        <v>199</v>
      </c>
      <c r="FK14" s="66"/>
      <c r="FL14" s="66">
        <f>FF14+FG14+FH14+FI14+FJ14+FK14</f>
        <v>575</v>
      </c>
      <c r="FM14" s="66"/>
      <c r="FN14" s="66">
        <v>158</v>
      </c>
      <c r="FO14" s="66">
        <v>181</v>
      </c>
      <c r="FP14" s="66">
        <v>161</v>
      </c>
      <c r="FQ14" s="66">
        <v>154</v>
      </c>
      <c r="FR14" s="66"/>
      <c r="FS14" s="66"/>
      <c r="FT14" s="66">
        <f>FM14+FN14+FO14+FP14+FQ14+FR14</f>
        <v>654</v>
      </c>
      <c r="FU14" s="66">
        <v>198</v>
      </c>
      <c r="FV14" s="66">
        <v>200</v>
      </c>
      <c r="FW14" s="66">
        <v>200</v>
      </c>
      <c r="FX14" s="66">
        <v>198</v>
      </c>
      <c r="FY14" s="66">
        <v>197</v>
      </c>
      <c r="FZ14" s="66"/>
      <c r="GA14" s="66">
        <f>FU14+FV14+FW14+FX14+FY14+FZ14</f>
        <v>993</v>
      </c>
      <c r="GB14" s="66"/>
      <c r="GC14" s="66"/>
      <c r="GD14" s="66"/>
      <c r="GE14" s="66"/>
      <c r="GF14" s="66"/>
      <c r="GG14" s="66"/>
      <c r="GH14" s="66"/>
      <c r="GI14" s="66"/>
      <c r="GJ14" s="66">
        <v>176</v>
      </c>
      <c r="GK14" s="66">
        <v>179</v>
      </c>
      <c r="GL14" s="66">
        <v>165</v>
      </c>
      <c r="GM14" s="66">
        <v>170</v>
      </c>
      <c r="GN14" s="66"/>
      <c r="GO14" s="66">
        <f>GI14+GJ14+GK14+GL14+GM14+GN14</f>
        <v>690</v>
      </c>
      <c r="GP14" s="66"/>
      <c r="GQ14" s="66"/>
      <c r="GR14" s="66">
        <v>153</v>
      </c>
      <c r="GS14" s="66">
        <v>150</v>
      </c>
      <c r="GT14" s="66">
        <v>153</v>
      </c>
      <c r="GU14" s="66"/>
      <c r="GV14" s="66"/>
      <c r="GW14" s="193">
        <f>GQ14+GR14+GS14+GT14+GU14+GV14</f>
        <v>456</v>
      </c>
      <c r="GX14" s="213"/>
      <c r="GY14" s="66">
        <v>157</v>
      </c>
      <c r="GZ14" s="66">
        <v>161</v>
      </c>
      <c r="HA14" s="66">
        <v>170</v>
      </c>
      <c r="HB14" s="66"/>
      <c r="HC14" s="66"/>
      <c r="HD14" s="73">
        <f>GX14+GY14+GZ14+HA14+HB14+HC14</f>
        <v>488</v>
      </c>
      <c r="HE14" s="66"/>
      <c r="HF14" s="66">
        <v>145</v>
      </c>
      <c r="HG14" s="66">
        <v>174</v>
      </c>
      <c r="HH14" s="66">
        <v>146</v>
      </c>
      <c r="HI14" s="66">
        <v>135</v>
      </c>
      <c r="HJ14" s="66"/>
      <c r="HK14" s="73"/>
    </row>
    <row r="15" spans="2:219" ht="15.75" thickBot="1" x14ac:dyDescent="0.3">
      <c r="B15" s="322"/>
      <c r="C15" s="131" t="s">
        <v>5</v>
      </c>
      <c r="D15" s="150"/>
      <c r="E15" s="59"/>
      <c r="F15" s="59"/>
      <c r="G15" s="59"/>
      <c r="H15" s="59"/>
      <c r="I15" s="59"/>
      <c r="J15" s="59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>
        <v>22</v>
      </c>
      <c r="AO15" s="54">
        <v>30</v>
      </c>
      <c r="AP15" s="54">
        <v>29</v>
      </c>
      <c r="AQ15" s="54">
        <v>14</v>
      </c>
      <c r="AR15" s="54"/>
      <c r="AS15" s="54"/>
      <c r="AT15" s="54">
        <v>46</v>
      </c>
      <c r="AU15" s="54">
        <v>38</v>
      </c>
      <c r="AV15" s="54">
        <v>51</v>
      </c>
      <c r="AW15" s="54">
        <v>42</v>
      </c>
      <c r="AX15" s="54">
        <v>35</v>
      </c>
      <c r="AY15" s="54"/>
      <c r="AZ15" s="54"/>
      <c r="BA15" s="54">
        <v>38</v>
      </c>
      <c r="BB15" s="54">
        <v>43</v>
      </c>
      <c r="BC15" s="54">
        <v>33</v>
      </c>
      <c r="BD15" s="54">
        <v>39</v>
      </c>
      <c r="BE15" s="54">
        <v>27</v>
      </c>
      <c r="BF15" s="54"/>
      <c r="BG15" s="54"/>
      <c r="BH15" s="54">
        <v>27</v>
      </c>
      <c r="BI15" s="54">
        <v>50</v>
      </c>
      <c r="BJ15" s="54">
        <v>55</v>
      </c>
      <c r="BK15" s="54">
        <v>61</v>
      </c>
      <c r="BL15" s="54">
        <v>60</v>
      </c>
      <c r="BM15" s="54"/>
      <c r="BN15" s="54"/>
      <c r="BO15" s="54">
        <v>65</v>
      </c>
      <c r="BP15" s="54">
        <v>66</v>
      </c>
      <c r="BQ15" s="54">
        <v>68</v>
      </c>
      <c r="BR15" s="54">
        <v>81</v>
      </c>
      <c r="BS15" s="54">
        <v>72</v>
      </c>
      <c r="BT15" s="54"/>
      <c r="BU15" s="151">
        <f>BO15+BP15+BQ15+BR15+BS15+BT15</f>
        <v>352</v>
      </c>
      <c r="BV15" s="54">
        <v>91</v>
      </c>
      <c r="BW15" s="54">
        <v>91</v>
      </c>
      <c r="BX15" s="54">
        <v>85</v>
      </c>
      <c r="BY15" s="54">
        <v>96</v>
      </c>
      <c r="BZ15" s="54">
        <v>96</v>
      </c>
      <c r="CA15" s="54"/>
      <c r="CB15" s="151">
        <f>BV15+BW15+BX15+BY15+BZ15+CA15</f>
        <v>459</v>
      </c>
      <c r="CC15" s="54">
        <v>136</v>
      </c>
      <c r="CD15" s="54">
        <v>188</v>
      </c>
      <c r="CE15" s="54">
        <v>148</v>
      </c>
      <c r="CF15" s="54">
        <v>161</v>
      </c>
      <c r="CG15" s="54">
        <v>138</v>
      </c>
      <c r="CH15" s="54">
        <v>105</v>
      </c>
      <c r="CI15" s="54">
        <f>CC15+CD15+CE15+CF15+CG15+CH15</f>
        <v>876</v>
      </c>
      <c r="CJ15" s="54">
        <v>185</v>
      </c>
      <c r="CK15" s="54">
        <v>236</v>
      </c>
      <c r="CL15" s="54">
        <v>232</v>
      </c>
      <c r="CM15" s="54">
        <v>232</v>
      </c>
      <c r="CN15" s="54">
        <v>165</v>
      </c>
      <c r="CO15" s="54"/>
      <c r="CP15" s="54">
        <f>CJ15+CK15+CL15+CM15+CN15+CO15</f>
        <v>1050</v>
      </c>
      <c r="CQ15" s="54">
        <v>179</v>
      </c>
      <c r="CR15" s="54">
        <v>193</v>
      </c>
      <c r="CS15" s="54">
        <v>218</v>
      </c>
      <c r="CT15" s="54">
        <v>231</v>
      </c>
      <c r="CU15" s="54">
        <v>192</v>
      </c>
      <c r="CV15" s="54"/>
      <c r="CW15" s="54">
        <f>CQ15+CR15+CS15+CT15+CU15+CV15</f>
        <v>1013</v>
      </c>
      <c r="CX15" s="54"/>
      <c r="CY15" s="54">
        <v>201</v>
      </c>
      <c r="CZ15" s="54">
        <v>205</v>
      </c>
      <c r="DA15" s="54">
        <v>195</v>
      </c>
      <c r="DB15" s="54">
        <v>204</v>
      </c>
      <c r="DC15" s="54"/>
      <c r="DD15" s="54">
        <f>CX15+CY15+CZ15+DA15+DB15+DC15</f>
        <v>805</v>
      </c>
      <c r="DE15" s="54">
        <v>172</v>
      </c>
      <c r="DF15" s="54">
        <v>192</v>
      </c>
      <c r="DG15" s="54">
        <v>166</v>
      </c>
      <c r="DH15" s="54">
        <v>218</v>
      </c>
      <c r="DI15" s="54">
        <v>204</v>
      </c>
      <c r="DJ15" s="54"/>
      <c r="DK15" s="54">
        <v>204</v>
      </c>
      <c r="DL15" s="54">
        <v>201</v>
      </c>
      <c r="DM15" s="54">
        <v>202</v>
      </c>
      <c r="DN15" s="54">
        <v>215</v>
      </c>
      <c r="DO15" s="54">
        <v>197</v>
      </c>
      <c r="DP15" s="54">
        <v>198</v>
      </c>
      <c r="DQ15" s="54"/>
      <c r="DR15" s="54">
        <f>DL15+DM15+DN15+DO15+DP15+DQ15</f>
        <v>1013</v>
      </c>
      <c r="DS15" s="54">
        <v>215</v>
      </c>
      <c r="DT15" s="54">
        <v>215</v>
      </c>
      <c r="DU15" s="54">
        <v>208</v>
      </c>
      <c r="DV15" s="54">
        <v>204</v>
      </c>
      <c r="DW15" s="54"/>
      <c r="DX15" s="54"/>
      <c r="DY15" s="54">
        <f>DS15+DT15+DU15+DV15+DW15+DX15</f>
        <v>842</v>
      </c>
      <c r="DZ15" s="54">
        <v>215</v>
      </c>
      <c r="EA15" s="54">
        <v>215</v>
      </c>
      <c r="EB15" s="54">
        <v>201</v>
      </c>
      <c r="EC15" s="54">
        <v>205</v>
      </c>
      <c r="ED15" s="54">
        <v>215</v>
      </c>
      <c r="EE15" s="54"/>
      <c r="EF15" s="54"/>
      <c r="EG15" s="54">
        <f>DZ15+EA15+EB15+EC15+ED15+EE15</f>
        <v>1051</v>
      </c>
      <c r="EH15" s="54">
        <v>200</v>
      </c>
      <c r="EI15" s="54">
        <v>210</v>
      </c>
      <c r="EJ15" s="54">
        <v>204</v>
      </c>
      <c r="EK15" s="54">
        <v>205</v>
      </c>
      <c r="EL15" s="54">
        <v>215</v>
      </c>
      <c r="EM15" s="54"/>
      <c r="EN15" s="54"/>
      <c r="EO15" s="54">
        <f>EI15+EJ15+EK15+EL15+EM15+EN15+EH15</f>
        <v>1034</v>
      </c>
      <c r="EP15" s="54">
        <v>197</v>
      </c>
      <c r="EQ15" s="54">
        <v>215</v>
      </c>
      <c r="ER15" s="54">
        <v>215</v>
      </c>
      <c r="ES15" s="54">
        <v>211</v>
      </c>
      <c r="ET15" s="54">
        <v>215</v>
      </c>
      <c r="EU15" s="54"/>
      <c r="EV15" s="54"/>
      <c r="EW15" s="54">
        <f>EQ15+ER15+ES15+ET15+EU15+EV15+EP15</f>
        <v>1053</v>
      </c>
      <c r="EX15" s="54">
        <v>155</v>
      </c>
      <c r="EY15" s="54">
        <v>153</v>
      </c>
      <c r="EZ15" s="54">
        <v>193</v>
      </c>
      <c r="FA15" s="54">
        <v>156</v>
      </c>
      <c r="FB15" s="54">
        <v>183</v>
      </c>
      <c r="FC15" s="54"/>
      <c r="FD15" s="54"/>
      <c r="FE15" s="54">
        <f>EY15+EZ15+FA15+FB15+FC15+FD15+EX15</f>
        <v>840</v>
      </c>
      <c r="FF15" s="54"/>
      <c r="FG15" s="54"/>
      <c r="FH15" s="54">
        <v>190</v>
      </c>
      <c r="FI15" s="54">
        <v>183</v>
      </c>
      <c r="FJ15" s="54">
        <v>200</v>
      </c>
      <c r="FK15" s="54"/>
      <c r="FL15" s="54">
        <f>FF15+FG15+FH15+FI15+FJ15+FK15</f>
        <v>573</v>
      </c>
      <c r="FM15" s="54"/>
      <c r="FN15" s="54">
        <v>154</v>
      </c>
      <c r="FO15" s="54">
        <v>191</v>
      </c>
      <c r="FP15" s="54">
        <v>182</v>
      </c>
      <c r="FQ15" s="54">
        <v>160</v>
      </c>
      <c r="FR15" s="54"/>
      <c r="FS15" s="54"/>
      <c r="FT15" s="54">
        <f>FM15+FN15+FO15+FP15+FQ15+FR15</f>
        <v>687</v>
      </c>
      <c r="FU15" s="54">
        <v>200</v>
      </c>
      <c r="FV15" s="54">
        <v>200</v>
      </c>
      <c r="FW15" s="54">
        <v>199</v>
      </c>
      <c r="FX15" s="54">
        <v>193</v>
      </c>
      <c r="FY15" s="54">
        <v>185</v>
      </c>
      <c r="FZ15" s="54"/>
      <c r="GA15" s="54">
        <f>FU15+FV15+FW15+FX15+FY15+FZ15</f>
        <v>977</v>
      </c>
      <c r="GB15" s="54"/>
      <c r="GC15" s="54"/>
      <c r="GD15" s="54"/>
      <c r="GE15" s="54"/>
      <c r="GF15" s="54"/>
      <c r="GG15" s="54"/>
      <c r="GH15" s="54"/>
      <c r="GI15" s="54"/>
      <c r="GJ15" s="54">
        <v>174</v>
      </c>
      <c r="GK15" s="54">
        <v>182</v>
      </c>
      <c r="GL15" s="54">
        <v>170</v>
      </c>
      <c r="GM15" s="54">
        <v>170</v>
      </c>
      <c r="GN15" s="54"/>
      <c r="GO15" s="54">
        <f>GI15+GJ15+GK15+GL15+GM15+GN15</f>
        <v>696</v>
      </c>
      <c r="GP15" s="54"/>
      <c r="GQ15" s="54"/>
      <c r="GR15" s="54">
        <v>169</v>
      </c>
      <c r="GS15" s="54">
        <v>159</v>
      </c>
      <c r="GT15" s="54">
        <v>160</v>
      </c>
      <c r="GU15" s="54"/>
      <c r="GV15" s="54"/>
      <c r="GW15" s="194">
        <f>GQ15+GR15+GS15+GT15+GU15+GV15</f>
        <v>488</v>
      </c>
      <c r="GX15" s="214"/>
      <c r="GY15" s="54">
        <v>157</v>
      </c>
      <c r="GZ15" s="54">
        <v>157</v>
      </c>
      <c r="HA15" s="54">
        <v>170</v>
      </c>
      <c r="HB15" s="54"/>
      <c r="HC15" s="54"/>
      <c r="HD15" s="74">
        <f>GX15+GY15+GZ15+HA15+HB15+HC15</f>
        <v>484</v>
      </c>
      <c r="HE15" s="54"/>
      <c r="HF15" s="54">
        <v>147</v>
      </c>
      <c r="HG15" s="54">
        <v>174</v>
      </c>
      <c r="HH15" s="54">
        <v>143</v>
      </c>
      <c r="HI15" s="54">
        <v>136</v>
      </c>
      <c r="HJ15" s="54"/>
      <c r="HK15" s="74"/>
    </row>
    <row r="16" spans="2:219" ht="15.75" thickBot="1" x14ac:dyDescent="0.3">
      <c r="B16" s="322"/>
      <c r="C16" s="131" t="s">
        <v>90</v>
      </c>
      <c r="D16" s="150"/>
      <c r="E16" s="59"/>
      <c r="F16" s="59"/>
      <c r="G16" s="59"/>
      <c r="H16" s="59"/>
      <c r="I16" s="59"/>
      <c r="J16" s="59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64">
        <f>(BO14*57/60)/(28*7)</f>
        <v>0.30051020408163265</v>
      </c>
      <c r="BP16" s="64">
        <f>(BP14*57/60)/(28*7)</f>
        <v>0.35382653061224489</v>
      </c>
      <c r="BQ16" s="64">
        <f>(BQ14*57/60)/(27*7)</f>
        <v>0.35687830687830691</v>
      </c>
      <c r="BR16" s="64">
        <f>(BR14*57/60)/(26*7)</f>
        <v>0.4175824175824176</v>
      </c>
      <c r="BS16" s="64">
        <f>(BS14*57/60)/(24*7)</f>
        <v>0.36755952380952384</v>
      </c>
      <c r="BT16" s="64"/>
      <c r="BU16" s="152">
        <f>AVERAGE(BO16:BT16)</f>
        <v>0.3592713965928252</v>
      </c>
      <c r="BV16" s="57">
        <f>(BV14*57/60)/(36*7)</f>
        <v>0.35436507936507933</v>
      </c>
      <c r="BW16" s="57">
        <f>(BW14*57/60)/(36*7)</f>
        <v>0.37698412698412698</v>
      </c>
      <c r="BX16" s="57">
        <f>(BX14*57/60)/(36*7)</f>
        <v>0.3619047619047619</v>
      </c>
      <c r="BY16" s="57">
        <f>(BY14*57/60)/(36*7)</f>
        <v>0.39960317460317463</v>
      </c>
      <c r="BZ16" s="57">
        <f>(BZ14*57/60)/(36*7)</f>
        <v>0.35813492063492064</v>
      </c>
      <c r="CA16" s="54"/>
      <c r="CB16" s="57">
        <f>AVERAGE(BV16:CA16)</f>
        <v>0.37019841269841269</v>
      </c>
      <c r="CC16" s="57">
        <f>(CC14*57/60)/(40*7)</f>
        <v>0.4851785714285714</v>
      </c>
      <c r="CD16" s="57">
        <f>(CD14*57/60)/(40*9)</f>
        <v>0.48291666666666666</v>
      </c>
      <c r="CE16" s="57">
        <f>(CE14*57/60)/(40*9)</f>
        <v>0.36944444444444446</v>
      </c>
      <c r="CF16" s="57">
        <f>(CF14*57/60)/(36*9)</f>
        <v>0.47500000000000003</v>
      </c>
      <c r="CG16" s="57">
        <f>(CG14*57/60)/(36*9)</f>
        <v>0.39583333333333331</v>
      </c>
      <c r="CH16" s="57">
        <f>(CH14*57/60)/(32*9)</f>
        <v>0.35295138888888888</v>
      </c>
      <c r="CI16" s="57">
        <f>AVERAGE(CC16:CH16)</f>
        <v>0.42688740079365078</v>
      </c>
      <c r="CJ16" s="57">
        <f>(CJ14*57/60)/(52*7.17)</f>
        <v>0.49431391481600695</v>
      </c>
      <c r="CK16" s="57">
        <f>(CK14*57/60)/(53*7.17)</f>
        <v>0.59998421094181731</v>
      </c>
      <c r="CL16" s="57">
        <f>(CL14*57/60)/(52*7.17)</f>
        <v>0.62426241819547268</v>
      </c>
      <c r="CM16" s="57">
        <f>(CM14*57/60)/(52*7.17)</f>
        <v>0.59113828988305983</v>
      </c>
      <c r="CN16" s="57">
        <f>(CN14*57/60)/(52*7.17)</f>
        <v>0.48666988520545007</v>
      </c>
      <c r="CO16" s="54"/>
      <c r="CP16" s="57">
        <f>AVERAGE(CJ16:CO16)</f>
        <v>0.55927374380836137</v>
      </c>
      <c r="CQ16" s="57">
        <f>(CQ14*57/60)/(45*7)</f>
        <v>0.58507936507936509</v>
      </c>
      <c r="CR16" s="57">
        <f>(CR14*57/60)/(45*7)</f>
        <v>0.58507936507936509</v>
      </c>
      <c r="CS16" s="57">
        <f>(CS14*57/60)/(47*7)</f>
        <v>0.61504559270516712</v>
      </c>
      <c r="CT16" s="57">
        <f>(CT14*57/60)/(47*7)</f>
        <v>0.66413373860182368</v>
      </c>
      <c r="CU16" s="57">
        <f>(CU14*57/60)/(47*7)</f>
        <v>0.56884498480243162</v>
      </c>
      <c r="CV16" s="54"/>
      <c r="CW16" s="57">
        <f>AVERAGE(CQ16:CV16)</f>
        <v>0.6036366092536305</v>
      </c>
      <c r="CX16" s="57"/>
      <c r="CY16" s="78">
        <f>(CY14*57/60)/(42*7)</f>
        <v>0.6462585034013606</v>
      </c>
      <c r="CZ16" s="78">
        <f>(CZ14*57/60)/(42*7)</f>
        <v>0.68503401360544225</v>
      </c>
      <c r="DA16" s="78">
        <f>(DA14*57/60)/(41*7)</f>
        <v>0.68188153310104527</v>
      </c>
      <c r="DB16" s="78">
        <f>(DB14*57/60)/(42*7)</f>
        <v>0.66564625850340131</v>
      </c>
      <c r="DC16" s="79"/>
      <c r="DD16" s="78">
        <f>AVERAGE(CX16:DC16)</f>
        <v>0.66970507715281236</v>
      </c>
      <c r="DE16" s="78">
        <f>(DE14*57/60)/(DE17*7)</f>
        <v>0.53400621118012415</v>
      </c>
      <c r="DF16" s="78">
        <f t="shared" ref="DF16:DI16" si="64">(DF14*57/60)/(DF17*7)</f>
        <v>0.55492063492063493</v>
      </c>
      <c r="DG16" s="78">
        <f t="shared" si="64"/>
        <v>0.49659090909090903</v>
      </c>
      <c r="DH16" s="78">
        <f t="shared" si="64"/>
        <v>0.60619047619047617</v>
      </c>
      <c r="DI16" s="78">
        <f t="shared" si="64"/>
        <v>0.61996753246753245</v>
      </c>
      <c r="DJ16" s="78"/>
      <c r="DK16" s="78">
        <f>(DK14*57/60)/(42*7)</f>
        <v>0.66564625850340131</v>
      </c>
      <c r="DL16" s="78">
        <f t="shared" ref="DL16:DP16" si="65">(DL14*57/60)/(DL17*7)</f>
        <v>0.57609329446064139</v>
      </c>
      <c r="DM16" s="78">
        <f t="shared" si="65"/>
        <v>0.54828571428571427</v>
      </c>
      <c r="DN16" s="78">
        <f t="shared" si="65"/>
        <v>0.5862857142857143</v>
      </c>
      <c r="DO16" s="78">
        <f t="shared" si="65"/>
        <v>0.54285714285714282</v>
      </c>
      <c r="DP16" s="78">
        <f t="shared" si="65"/>
        <v>0.52156862745098032</v>
      </c>
      <c r="DQ16" s="54"/>
      <c r="DR16" s="78">
        <f>AVERAGE(DL16:DQ16)</f>
        <v>0.55501809866803864</v>
      </c>
      <c r="DS16" s="78">
        <f>(DS14*57/60)/(DS17*7)</f>
        <v>0.59548104956268222</v>
      </c>
      <c r="DT16" s="78">
        <f>(DT14*57/60)/(DT17*7)</f>
        <v>0.58357142857142852</v>
      </c>
      <c r="DU16" s="78">
        <f>(DU14*57/60)/(DU17*7)</f>
        <v>0.55099999999999993</v>
      </c>
      <c r="DV16" s="78">
        <f>(DV14*57/60)/(DV17*7)</f>
        <v>0.6092063492063492</v>
      </c>
      <c r="DW16" s="54"/>
      <c r="DX16" s="54"/>
      <c r="DY16" s="78">
        <f>AVERAGE(DS16:DX16)</f>
        <v>0.58481470683511494</v>
      </c>
      <c r="DZ16" s="78">
        <f>(DZ14*57/60)/(DZ17*7)</f>
        <v>0.56112637362637363</v>
      </c>
      <c r="EA16" s="78">
        <f>(EA14*57/60)/(EA17*7)</f>
        <v>0.55882352941176472</v>
      </c>
      <c r="EB16" s="78">
        <f>(EB14*57/60)/(EB17*7)</f>
        <v>0.54019607843137252</v>
      </c>
      <c r="EC16" s="78">
        <f>(EC14*57/60)/(EC17*7)</f>
        <v>0.54551820728291311</v>
      </c>
      <c r="ED16" s="78">
        <f>(ED14*57/60)/(ED17*7)</f>
        <v>0.5862857142857143</v>
      </c>
      <c r="EE16" s="54"/>
      <c r="EF16" s="54"/>
      <c r="EG16" s="78">
        <f>AVERAGE(DZ16:EE16)</f>
        <v>0.55838998060762768</v>
      </c>
      <c r="EH16" s="78">
        <f>(EH14*57/60)/(EH17*7)</f>
        <v>0.50700808625336924</v>
      </c>
      <c r="EI16" s="78">
        <f>(EI14*57/60)/(EI17*7)</f>
        <v>0.52777777777777779</v>
      </c>
      <c r="EJ16" s="78">
        <f>(EJ14*57/60)/(EJ17*7)</f>
        <v>0.52980769230769231</v>
      </c>
      <c r="EK16" s="78">
        <f>(EK14*57/60)/(EK17*7)</f>
        <v>0.53763736263736261</v>
      </c>
      <c r="EL16" s="78">
        <f>(EL14*57/60)/(EL17*7)</f>
        <v>0.52980769230769231</v>
      </c>
      <c r="EM16" s="54"/>
      <c r="EN16" s="54"/>
      <c r="EO16" s="78">
        <f>AVERAGE(EH16:EN16)</f>
        <v>0.5264077222567789</v>
      </c>
      <c r="EP16" s="78">
        <f>(EP14*57/60)/(EP17*7)</f>
        <v>0.50700808625336924</v>
      </c>
      <c r="EQ16" s="78">
        <f>(EQ14*57/60)/(EQ17*7)</f>
        <v>0.54034391534391535</v>
      </c>
      <c r="ER16" s="78">
        <f>(ER14*57/60)/(ER17*7)</f>
        <v>0.57212885154061621</v>
      </c>
      <c r="ES16" s="78">
        <f>(ES14*57/60)/(ES17*7)</f>
        <v>0.52719780219780221</v>
      </c>
      <c r="ET16" s="78">
        <f>(ET14*57/60)/(ET17*7)</f>
        <v>0.55053908355795145</v>
      </c>
      <c r="EU16" s="54"/>
      <c r="EV16" s="54"/>
      <c r="EW16" s="78">
        <f>AVERAGE(EP16:EV16)</f>
        <v>0.53944354777873094</v>
      </c>
      <c r="EX16" s="78">
        <f>(EX14*57/60)/(EX17*7)</f>
        <v>0.39433962264150946</v>
      </c>
      <c r="EY16" s="78">
        <f>(EY14*57/60)/(EY17*7)</f>
        <v>0.38169642857142855</v>
      </c>
      <c r="EZ16" s="78">
        <f>(EZ14*57/60)/(EZ17*7)</f>
        <v>0.54568452380952381</v>
      </c>
      <c r="FA16" s="78">
        <f>(FA14*57/60)/(FA17*7)</f>
        <v>0.41778711484593839</v>
      </c>
      <c r="FB16" s="78">
        <f>(FB14*57/60)/(FB17*7)</f>
        <v>0.50757142857142856</v>
      </c>
      <c r="FC16" s="54"/>
      <c r="FD16" s="54"/>
      <c r="FE16" s="78">
        <f>AVERAGE(EX16:FB16)</f>
        <v>0.44941582368796579</v>
      </c>
      <c r="FF16" s="57"/>
      <c r="FG16" s="57"/>
      <c r="FH16" s="78">
        <f t="shared" ref="FH16:FJ16" si="66">(FH14*57/60)/(FH17*7)</f>
        <v>0.51092436974789912</v>
      </c>
      <c r="FI16" s="78">
        <f t="shared" si="66"/>
        <v>0.49942857142857144</v>
      </c>
      <c r="FJ16" s="78">
        <f t="shared" si="66"/>
        <v>0.55116618075801749</v>
      </c>
      <c r="FK16" s="54"/>
      <c r="FL16" s="154">
        <f>AVERAGE(FF16:FJ16)</f>
        <v>0.52050637397816268</v>
      </c>
      <c r="FM16" s="57"/>
      <c r="FN16" s="78">
        <f t="shared" ref="FN16:FP16" si="67">(FN14*57/60)/(FN17*7)</f>
        <v>0.46614906832298136</v>
      </c>
      <c r="FO16" s="78">
        <f t="shared" si="67"/>
        <v>0.53400621118012415</v>
      </c>
      <c r="FP16" s="78">
        <f t="shared" si="67"/>
        <v>0.46489361702127657</v>
      </c>
      <c r="FQ16" s="78">
        <f t="shared" ref="FQ16" si="68">(FQ14*57/60)/(FQ17*7)</f>
        <v>0.43541666666666667</v>
      </c>
      <c r="FR16" s="54"/>
      <c r="FS16" s="54"/>
      <c r="FT16" s="154">
        <f>AVERAGE(FM16:FQ16)</f>
        <v>0.47511639079776213</v>
      </c>
      <c r="FU16" s="78">
        <f t="shared" ref="FU16:FY16" si="69">(FU14*57/60)/(FU17*7)</f>
        <v>0.52689075630252102</v>
      </c>
      <c r="FV16" s="78">
        <f t="shared" si="69"/>
        <v>0.56547619047619047</v>
      </c>
      <c r="FW16" s="78">
        <f t="shared" si="69"/>
        <v>0.55393586005830908</v>
      </c>
      <c r="FX16" s="78">
        <f t="shared" si="69"/>
        <v>0.58416149068322976</v>
      </c>
      <c r="FY16" s="78">
        <f t="shared" si="69"/>
        <v>0.62176079734219269</v>
      </c>
      <c r="FZ16" s="54"/>
      <c r="GA16" s="154">
        <f>AVERAGE(FU16:FY16)</f>
        <v>0.57044501897248867</v>
      </c>
      <c r="GB16" s="57"/>
      <c r="GC16" s="57"/>
      <c r="GD16" s="57"/>
      <c r="GE16" s="54"/>
      <c r="GF16" s="54"/>
      <c r="GG16" s="54"/>
      <c r="GH16" s="54"/>
      <c r="GI16" s="57"/>
      <c r="GJ16" s="78">
        <f t="shared" ref="GJ16:GM16" si="70">(GJ14*57/60)/(GJ17*7)</f>
        <v>0.64555984555984547</v>
      </c>
      <c r="GK16" s="78">
        <f t="shared" si="70"/>
        <v>0.6228937728937729</v>
      </c>
      <c r="GL16" s="78">
        <f t="shared" si="70"/>
        <v>0.5892857142857143</v>
      </c>
      <c r="GM16" s="78">
        <f t="shared" si="70"/>
        <v>0.64087301587301593</v>
      </c>
      <c r="GN16" s="54"/>
      <c r="GO16" s="154">
        <f>AVERAGE(GI16:GM16)</f>
        <v>0.62465308715308709</v>
      </c>
      <c r="GP16" s="57"/>
      <c r="GQ16" s="57"/>
      <c r="GR16" s="78">
        <f t="shared" ref="GR16:GS16" si="71">(GR14*57/60)/(GR17*7)</f>
        <v>0.48289036544850494</v>
      </c>
      <c r="GS16" s="78">
        <f t="shared" si="71"/>
        <v>0.49651567944250868</v>
      </c>
      <c r="GT16" s="78">
        <f t="shared" ref="GT16" si="72">(GT14*57/60)/(GT17*7)</f>
        <v>0.51910714285714288</v>
      </c>
      <c r="GU16" s="54"/>
      <c r="GV16" s="54"/>
      <c r="GW16" s="195">
        <f>AVERAGE(GQ16:GU16)</f>
        <v>0.49950439591605217</v>
      </c>
      <c r="GX16" s="220"/>
      <c r="GY16" s="78">
        <f t="shared" ref="GY16:HA16" si="73">(GY14*57/60)/(GY17*7)</f>
        <v>0.56071428571428572</v>
      </c>
      <c r="GZ16" s="78">
        <f t="shared" si="73"/>
        <v>0.56025641025641026</v>
      </c>
      <c r="HA16" s="78">
        <f t="shared" si="73"/>
        <v>0.64087301587301593</v>
      </c>
      <c r="HB16" s="54"/>
      <c r="HC16" s="54"/>
      <c r="HD16" s="216">
        <f>AVERAGE(GX16:HB16)</f>
        <v>0.58728123728123727</v>
      </c>
      <c r="HE16" s="78"/>
      <c r="HF16" s="78">
        <f>(HF14*57/60)/(HF17*7)</f>
        <v>0.49196428571428569</v>
      </c>
      <c r="HG16" s="78">
        <f>(HG14*57/60)/(HG17*7)</f>
        <v>0.6746938775510205</v>
      </c>
      <c r="HH16" s="78">
        <f>(HH14*57/60)/(HH17*7)</f>
        <v>0.55039682539682533</v>
      </c>
      <c r="HI16" s="78">
        <f>(HI14*57/60)/(HI17*7)</f>
        <v>0.52346938775510199</v>
      </c>
      <c r="HJ16" s="54"/>
      <c r="HK16" s="74"/>
    </row>
    <row r="17" spans="1:219" ht="15.75" thickBot="1" x14ac:dyDescent="0.3">
      <c r="B17" s="322"/>
      <c r="C17" s="131" t="s">
        <v>113</v>
      </c>
      <c r="D17" s="150"/>
      <c r="E17" s="59"/>
      <c r="F17" s="59"/>
      <c r="G17" s="59"/>
      <c r="H17" s="59"/>
      <c r="I17" s="59"/>
      <c r="J17" s="59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64"/>
      <c r="BP17" s="64"/>
      <c r="BQ17" s="64"/>
      <c r="BR17" s="64"/>
      <c r="BS17" s="64"/>
      <c r="BT17" s="64"/>
      <c r="BU17" s="152"/>
      <c r="BV17" s="57"/>
      <c r="BW17" s="57"/>
      <c r="BX17" s="57"/>
      <c r="BY17" s="57"/>
      <c r="BZ17" s="57"/>
      <c r="CA17" s="54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4"/>
      <c r="CP17" s="57"/>
      <c r="CQ17" s="54">
        <v>45</v>
      </c>
      <c r="CR17" s="54">
        <v>45</v>
      </c>
      <c r="CS17" s="54">
        <v>47</v>
      </c>
      <c r="CT17" s="54">
        <v>47</v>
      </c>
      <c r="CU17" s="54">
        <v>42</v>
      </c>
      <c r="CV17" s="54"/>
      <c r="CW17" s="57"/>
      <c r="CX17" s="54"/>
      <c r="CY17" s="54">
        <v>42</v>
      </c>
      <c r="CZ17" s="54">
        <v>42</v>
      </c>
      <c r="DA17" s="54">
        <v>41</v>
      </c>
      <c r="DB17" s="54">
        <v>42</v>
      </c>
      <c r="DC17" s="54"/>
      <c r="DD17" s="83">
        <f>+(CY17+CZ17+DA17+DB17)/4</f>
        <v>41.75</v>
      </c>
      <c r="DE17" s="69">
        <v>46</v>
      </c>
      <c r="DF17" s="84">
        <v>45</v>
      </c>
      <c r="DG17" s="84">
        <v>44</v>
      </c>
      <c r="DH17" s="81">
        <v>45</v>
      </c>
      <c r="DI17" s="81">
        <v>44</v>
      </c>
      <c r="DJ17" s="81"/>
      <c r="DK17" s="54">
        <v>42</v>
      </c>
      <c r="DL17" s="81">
        <v>49</v>
      </c>
      <c r="DM17" s="81">
        <v>50</v>
      </c>
      <c r="DN17" s="81">
        <v>50</v>
      </c>
      <c r="DO17" s="54">
        <v>49</v>
      </c>
      <c r="DP17" s="54">
        <v>51</v>
      </c>
      <c r="DQ17" s="54"/>
      <c r="DR17" s="83">
        <f>+(DM17+DN17+DO17+DP17)/4</f>
        <v>50</v>
      </c>
      <c r="DS17" s="54">
        <v>49</v>
      </c>
      <c r="DT17" s="158">
        <v>50</v>
      </c>
      <c r="DU17" s="158">
        <v>50</v>
      </c>
      <c r="DV17" s="158">
        <v>45</v>
      </c>
      <c r="DW17" s="158"/>
      <c r="DX17" s="158"/>
      <c r="DY17" s="83">
        <f>+(DT17+DU17+DV17+DW17)/4</f>
        <v>36.25</v>
      </c>
      <c r="DZ17" s="158">
        <v>52</v>
      </c>
      <c r="EA17" s="84">
        <v>51</v>
      </c>
      <c r="EB17" s="84">
        <v>51</v>
      </c>
      <c r="EC17" s="84">
        <v>51</v>
      </c>
      <c r="ED17" s="54">
        <v>50</v>
      </c>
      <c r="EE17" s="54"/>
      <c r="EF17" s="54"/>
      <c r="EG17" s="83">
        <f>+(EA17+EB17+EC17+ED17+DZ17)/5</f>
        <v>51</v>
      </c>
      <c r="EH17" s="54">
        <v>53</v>
      </c>
      <c r="EI17" s="54">
        <v>54</v>
      </c>
      <c r="EJ17" s="54">
        <v>52</v>
      </c>
      <c r="EK17" s="54">
        <v>52</v>
      </c>
      <c r="EL17" s="54">
        <v>52</v>
      </c>
      <c r="EM17" s="54"/>
      <c r="EN17" s="54"/>
      <c r="EO17" s="83">
        <f>+(EJ17+EK17+EL17+EM17+EI17+EH17)/5</f>
        <v>52.6</v>
      </c>
      <c r="EP17" s="54">
        <v>53</v>
      </c>
      <c r="EQ17" s="54">
        <v>54</v>
      </c>
      <c r="ER17" s="54">
        <v>51</v>
      </c>
      <c r="ES17" s="54">
        <v>52</v>
      </c>
      <c r="ET17" s="54">
        <v>53</v>
      </c>
      <c r="EU17" s="54"/>
      <c r="EV17" s="54"/>
      <c r="EW17" s="83">
        <f>+(ER17+ES17+ET17+EU17+EQ17+EP17)/5</f>
        <v>52.6</v>
      </c>
      <c r="EX17" s="54">
        <v>53</v>
      </c>
      <c r="EY17" s="54">
        <v>48</v>
      </c>
      <c r="EZ17" s="54">
        <v>48</v>
      </c>
      <c r="FA17" s="54">
        <v>51</v>
      </c>
      <c r="FB17" s="54">
        <v>50</v>
      </c>
      <c r="FC17" s="54"/>
      <c r="FD17" s="54"/>
      <c r="FE17" s="83">
        <f>+(EZ17+FA17+FB17+FC17+EY17+EX17)/5</f>
        <v>50</v>
      </c>
      <c r="FF17" s="57"/>
      <c r="FG17" s="57"/>
      <c r="FH17" s="84">
        <v>51</v>
      </c>
      <c r="FI17" s="54">
        <v>50</v>
      </c>
      <c r="FJ17" s="54">
        <v>49</v>
      </c>
      <c r="FK17" s="54"/>
      <c r="FL17" s="155">
        <f>+(FG17+FI17+FF17)/3</f>
        <v>16.666666666666668</v>
      </c>
      <c r="FM17" s="57"/>
      <c r="FN17" s="54">
        <v>46</v>
      </c>
      <c r="FO17" s="54">
        <v>46</v>
      </c>
      <c r="FP17" s="54">
        <v>47</v>
      </c>
      <c r="FQ17" s="54">
        <v>48</v>
      </c>
      <c r="FR17" s="54"/>
      <c r="FS17" s="54"/>
      <c r="FT17" s="155">
        <f>+(FN17+FP17+FO17+FQ17)/4</f>
        <v>46.75</v>
      </c>
      <c r="FU17" s="54">
        <v>51</v>
      </c>
      <c r="FV17" s="54">
        <v>48</v>
      </c>
      <c r="FW17" s="54">
        <v>49</v>
      </c>
      <c r="FX17" s="54">
        <v>46</v>
      </c>
      <c r="FY17" s="54">
        <v>43</v>
      </c>
      <c r="FZ17" s="54"/>
      <c r="GA17" s="155">
        <f>+(FV17+FX17+FU17)/3</f>
        <v>48.333333333333336</v>
      </c>
      <c r="GB17" s="57"/>
      <c r="GC17" s="57"/>
      <c r="GD17" s="57"/>
      <c r="GE17" s="54"/>
      <c r="GF17" s="54"/>
      <c r="GG17" s="54"/>
      <c r="GH17" s="54"/>
      <c r="GI17" s="57"/>
      <c r="GJ17" s="54">
        <v>37</v>
      </c>
      <c r="GK17" s="54">
        <v>39</v>
      </c>
      <c r="GL17" s="54">
        <v>38</v>
      </c>
      <c r="GM17" s="54">
        <v>36</v>
      </c>
      <c r="GN17" s="54"/>
      <c r="GO17" s="155">
        <f>+(GJ17+GL17+GM17+GK17)/4</f>
        <v>37.5</v>
      </c>
      <c r="GP17" s="57"/>
      <c r="GQ17" s="57"/>
      <c r="GR17" s="54">
        <v>43</v>
      </c>
      <c r="GS17" s="54">
        <v>41</v>
      </c>
      <c r="GT17" s="54">
        <v>40</v>
      </c>
      <c r="GU17" s="54"/>
      <c r="GV17" s="54"/>
      <c r="GW17" s="196">
        <f>+(GR17+GT17+GU17+GS17)/3</f>
        <v>41.333333333333336</v>
      </c>
      <c r="GX17" s="220"/>
      <c r="GY17" s="54">
        <v>38</v>
      </c>
      <c r="GZ17" s="54">
        <v>39</v>
      </c>
      <c r="HA17" s="54">
        <v>36</v>
      </c>
      <c r="HB17" s="54"/>
      <c r="HC17" s="54"/>
      <c r="HD17" s="217">
        <f>+(GY17+HA17+HB17+GZ17)/3</f>
        <v>37.666666666666664</v>
      </c>
      <c r="HE17" s="54"/>
      <c r="HF17" s="54">
        <f>45-HF18</f>
        <v>40</v>
      </c>
      <c r="HG17" s="54">
        <v>35</v>
      </c>
      <c r="HH17" s="54">
        <v>36</v>
      </c>
      <c r="HI17" s="54">
        <v>35</v>
      </c>
      <c r="HJ17" s="54"/>
      <c r="HK17" s="74"/>
    </row>
    <row r="18" spans="1:219" s="6" customFormat="1" ht="15.75" thickBot="1" x14ac:dyDescent="0.3">
      <c r="B18" s="322"/>
      <c r="C18" s="132" t="s">
        <v>6</v>
      </c>
      <c r="D18" s="156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v>0</v>
      </c>
      <c r="AO18" s="56">
        <v>0</v>
      </c>
      <c r="AP18" s="56">
        <v>1</v>
      </c>
      <c r="AQ18" s="56">
        <v>1</v>
      </c>
      <c r="AR18" s="56"/>
      <c r="AS18" s="56"/>
      <c r="AT18" s="56">
        <v>0</v>
      </c>
      <c r="AU18" s="56">
        <v>0</v>
      </c>
      <c r="AV18" s="56">
        <v>0</v>
      </c>
      <c r="AW18" s="56">
        <v>0</v>
      </c>
      <c r="AX18" s="56">
        <v>1</v>
      </c>
      <c r="AY18" s="56"/>
      <c r="AZ18" s="56"/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/>
      <c r="BG18" s="54"/>
      <c r="BH18" s="56">
        <v>2</v>
      </c>
      <c r="BI18" s="56">
        <v>2</v>
      </c>
      <c r="BJ18" s="56">
        <v>3</v>
      </c>
      <c r="BK18" s="56">
        <v>3</v>
      </c>
      <c r="BL18" s="56">
        <v>4</v>
      </c>
      <c r="BM18" s="56"/>
      <c r="BN18" s="56"/>
      <c r="BO18" s="56">
        <v>1</v>
      </c>
      <c r="BP18" s="56">
        <v>2</v>
      </c>
      <c r="BQ18" s="56">
        <v>2</v>
      </c>
      <c r="BR18" s="56">
        <v>2</v>
      </c>
      <c r="BS18" s="56">
        <v>3</v>
      </c>
      <c r="BT18" s="56"/>
      <c r="BU18" s="151">
        <f>BO18+BP18+BQ18+BR18+BS18+BT18</f>
        <v>10</v>
      </c>
      <c r="BV18" s="69">
        <v>6</v>
      </c>
      <c r="BW18" s="54">
        <v>6</v>
      </c>
      <c r="BX18" s="54">
        <v>8</v>
      </c>
      <c r="BY18" s="54">
        <v>10</v>
      </c>
      <c r="BZ18" s="54">
        <v>10</v>
      </c>
      <c r="CA18" s="54"/>
      <c r="CB18" s="151">
        <f>+(BV18+BW18+BX18+BY18+BZ18)/5</f>
        <v>8</v>
      </c>
      <c r="CC18" s="54">
        <v>5</v>
      </c>
      <c r="CD18" s="54">
        <v>5</v>
      </c>
      <c r="CE18" s="54">
        <v>4</v>
      </c>
      <c r="CF18" s="54">
        <v>7</v>
      </c>
      <c r="CG18" s="54">
        <v>8</v>
      </c>
      <c r="CH18" s="54">
        <v>0</v>
      </c>
      <c r="CI18" s="54">
        <f>+(CC18+CD18+CE18+CF18+CG18)/5</f>
        <v>5.8</v>
      </c>
      <c r="CJ18" s="54">
        <v>2</v>
      </c>
      <c r="CK18" s="54">
        <v>3</v>
      </c>
      <c r="CL18" s="54">
        <v>4</v>
      </c>
      <c r="CM18" s="54">
        <v>4</v>
      </c>
      <c r="CN18" s="54">
        <v>5</v>
      </c>
      <c r="CO18" s="54"/>
      <c r="CP18" s="54">
        <f>+(CJ18+CK18+CL18+CM18+CN18)/5</f>
        <v>3.6</v>
      </c>
      <c r="CQ18" s="54">
        <v>9</v>
      </c>
      <c r="CR18" s="54">
        <v>9</v>
      </c>
      <c r="CS18" s="54">
        <v>7</v>
      </c>
      <c r="CT18" s="54">
        <v>7</v>
      </c>
      <c r="CU18" s="54">
        <v>12</v>
      </c>
      <c r="CV18" s="54"/>
      <c r="CW18" s="54">
        <f>+(CQ18+CR18+CS18+CT18+CU18)/5</f>
        <v>8.8000000000000007</v>
      </c>
      <c r="CX18" s="54"/>
      <c r="CY18" s="56">
        <v>6</v>
      </c>
      <c r="CZ18" s="56">
        <v>6</v>
      </c>
      <c r="DA18" s="56">
        <v>7</v>
      </c>
      <c r="DB18" s="56">
        <v>6</v>
      </c>
      <c r="DC18" s="56"/>
      <c r="DD18" s="56">
        <f>+(CX18+CY18+CZ18+DA18+DB18)/4</f>
        <v>6.25</v>
      </c>
      <c r="DE18" s="56">
        <v>8</v>
      </c>
      <c r="DF18" s="80">
        <v>9</v>
      </c>
      <c r="DG18" s="80">
        <v>10</v>
      </c>
      <c r="DH18" s="80">
        <v>9</v>
      </c>
      <c r="DI18" s="80">
        <v>10</v>
      </c>
      <c r="DJ18" s="80"/>
      <c r="DK18" s="56">
        <v>6</v>
      </c>
      <c r="DL18" s="80">
        <v>5</v>
      </c>
      <c r="DM18" s="56">
        <v>4</v>
      </c>
      <c r="DN18" s="56">
        <v>1</v>
      </c>
      <c r="DO18" s="56">
        <v>2</v>
      </c>
      <c r="DP18" s="56">
        <v>2</v>
      </c>
      <c r="DQ18" s="56"/>
      <c r="DR18" s="80">
        <f>+(DL18+DM18+DN18+DO18+DP18)/4</f>
        <v>3.5</v>
      </c>
      <c r="DS18" s="56">
        <v>4</v>
      </c>
      <c r="DT18" s="56">
        <v>3</v>
      </c>
      <c r="DU18" s="56">
        <v>3</v>
      </c>
      <c r="DV18" s="56">
        <v>5</v>
      </c>
      <c r="DW18" s="56"/>
      <c r="DX18" s="56"/>
      <c r="DY18" s="80">
        <f>+(DS18+DT18+DU18+DV18+DW18)/4</f>
        <v>3.75</v>
      </c>
      <c r="DZ18" s="56">
        <v>2</v>
      </c>
      <c r="EA18" s="56">
        <v>3</v>
      </c>
      <c r="EB18" s="56">
        <v>3</v>
      </c>
      <c r="EC18" s="56">
        <v>3</v>
      </c>
      <c r="ED18" s="56">
        <v>4</v>
      </c>
      <c r="EE18" s="56"/>
      <c r="EF18" s="56"/>
      <c r="EG18" s="80">
        <f>+(DZ18+EA18+EB18+EC18+ED18)/5</f>
        <v>3</v>
      </c>
      <c r="EH18" s="56">
        <v>5</v>
      </c>
      <c r="EI18" s="56">
        <v>4</v>
      </c>
      <c r="EJ18" s="56">
        <v>5</v>
      </c>
      <c r="EK18" s="56">
        <v>5</v>
      </c>
      <c r="EL18" s="56">
        <v>5</v>
      </c>
      <c r="EM18" s="56"/>
      <c r="EN18" s="56"/>
      <c r="EO18" s="80">
        <f>+(EI18+EJ18+EK18+EL18+EM18+EH18)/5</f>
        <v>4.8</v>
      </c>
      <c r="EP18" s="56">
        <v>3</v>
      </c>
      <c r="EQ18" s="56">
        <v>2</v>
      </c>
      <c r="ER18" s="56">
        <v>5</v>
      </c>
      <c r="ES18" s="56">
        <v>4</v>
      </c>
      <c r="ET18" s="56">
        <v>3</v>
      </c>
      <c r="EU18" s="56"/>
      <c r="EV18" s="56"/>
      <c r="EW18" s="80">
        <f>+(EQ18+ER18+ES18+ET18+EU18+EP18)/5</f>
        <v>3.4</v>
      </c>
      <c r="EX18" s="56">
        <v>3</v>
      </c>
      <c r="EY18" s="56">
        <v>7</v>
      </c>
      <c r="EZ18" s="56">
        <v>7</v>
      </c>
      <c r="FA18" s="56">
        <v>4</v>
      </c>
      <c r="FB18" s="56">
        <v>5</v>
      </c>
      <c r="FC18" s="56"/>
      <c r="FD18" s="56"/>
      <c r="FE18" s="80">
        <f>+(EY18+EZ18+FA18+FB18+FC18+EX18)/5</f>
        <v>5.2</v>
      </c>
      <c r="FF18" s="56"/>
      <c r="FG18" s="56"/>
      <c r="FH18" s="56">
        <v>3</v>
      </c>
      <c r="FI18" s="56">
        <v>4</v>
      </c>
      <c r="FJ18" s="56">
        <v>5</v>
      </c>
      <c r="FK18" s="56"/>
      <c r="FL18" s="80">
        <f>+(FF18+FG18+FH18+FI18+FJ18+FK18)/3</f>
        <v>4</v>
      </c>
      <c r="FM18" s="56"/>
      <c r="FN18" s="56">
        <v>6</v>
      </c>
      <c r="FO18" s="56">
        <v>7</v>
      </c>
      <c r="FP18" s="56">
        <v>6</v>
      </c>
      <c r="FQ18" s="56">
        <v>4</v>
      </c>
      <c r="FR18" s="56"/>
      <c r="FS18" s="56"/>
      <c r="FT18" s="80">
        <f>+(FM18+FN18+FO18+FP18+FQ18+FR18)/4</f>
        <v>5.75</v>
      </c>
      <c r="FU18" s="56">
        <v>3</v>
      </c>
      <c r="FV18" s="56">
        <v>6</v>
      </c>
      <c r="FW18" s="56">
        <v>5</v>
      </c>
      <c r="FX18" s="56">
        <v>8</v>
      </c>
      <c r="FY18" s="56">
        <v>9</v>
      </c>
      <c r="FZ18" s="56"/>
      <c r="GA18" s="80">
        <f>+(FU18+FV18+FW18+FX18+FY18+FZ18)/3</f>
        <v>10.333333333333334</v>
      </c>
      <c r="GB18" s="56"/>
      <c r="GC18" s="56"/>
      <c r="GD18" s="56"/>
      <c r="GE18" s="56"/>
      <c r="GF18" s="56"/>
      <c r="GG18" s="56"/>
      <c r="GH18" s="56"/>
      <c r="GI18" s="56"/>
      <c r="GJ18" s="56">
        <v>9</v>
      </c>
      <c r="GK18" s="56">
        <v>7</v>
      </c>
      <c r="GL18" s="56">
        <v>8</v>
      </c>
      <c r="GM18" s="56">
        <v>10</v>
      </c>
      <c r="GN18" s="56"/>
      <c r="GO18" s="80">
        <f>+(GI18+GJ18+GK18+GL18+GM18+GN18)/3</f>
        <v>11.333333333333334</v>
      </c>
      <c r="GP18" s="56"/>
      <c r="GQ18" s="56"/>
      <c r="GR18" s="56">
        <v>4</v>
      </c>
      <c r="GS18" s="56">
        <v>5</v>
      </c>
      <c r="GT18" s="56">
        <v>7</v>
      </c>
      <c r="GU18" s="56"/>
      <c r="GV18" s="56"/>
      <c r="GW18" s="197">
        <f>+(GQ18+GR18+GS18+GT18+GU18+GV18)/3</f>
        <v>5.333333333333333</v>
      </c>
      <c r="GX18" s="218"/>
      <c r="GY18" s="56">
        <v>8</v>
      </c>
      <c r="GZ18" s="56">
        <v>8</v>
      </c>
      <c r="HA18" s="56">
        <v>11</v>
      </c>
      <c r="HB18" s="56"/>
      <c r="HC18" s="56"/>
      <c r="HD18" s="219">
        <f>+(GX18+GY18+GZ18+HA18+HB18+HC18)/3</f>
        <v>9</v>
      </c>
      <c r="HE18" s="56"/>
      <c r="HF18" s="56">
        <v>5</v>
      </c>
      <c r="HG18" s="56">
        <v>10</v>
      </c>
      <c r="HH18" s="56">
        <v>9</v>
      </c>
      <c r="HI18" s="56">
        <v>10</v>
      </c>
      <c r="HJ18" s="56"/>
      <c r="HK18" s="89"/>
    </row>
    <row r="19" spans="1:219" s="6" customFormat="1" ht="15.75" thickBot="1" x14ac:dyDescent="0.3">
      <c r="B19" s="322"/>
      <c r="C19" s="132" t="s">
        <v>87</v>
      </c>
      <c r="D19" s="156"/>
      <c r="E19" s="60"/>
      <c r="F19" s="60"/>
      <c r="G19" s="60"/>
      <c r="H19" s="60"/>
      <c r="I19" s="60"/>
      <c r="J19" s="60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4"/>
      <c r="BB19" s="54"/>
      <c r="BC19" s="54"/>
      <c r="BD19" s="54"/>
      <c r="BE19" s="54"/>
      <c r="BF19" s="54"/>
      <c r="BG19" s="54"/>
      <c r="BH19" s="56"/>
      <c r="BI19" s="56"/>
      <c r="BJ19" s="56"/>
      <c r="BK19" s="56"/>
      <c r="BL19" s="56"/>
      <c r="BM19" s="56"/>
      <c r="BN19" s="56"/>
      <c r="BO19" s="57">
        <f>BO18/45</f>
        <v>2.2222222222222223E-2</v>
      </c>
      <c r="BP19" s="57">
        <f t="shared" ref="BP19:BS19" si="74">BP18/45</f>
        <v>4.4444444444444446E-2</v>
      </c>
      <c r="BQ19" s="57">
        <f t="shared" si="74"/>
        <v>4.4444444444444446E-2</v>
      </c>
      <c r="BR19" s="57">
        <f t="shared" si="74"/>
        <v>4.4444444444444446E-2</v>
      </c>
      <c r="BS19" s="57">
        <f t="shared" si="74"/>
        <v>6.6666666666666666E-2</v>
      </c>
      <c r="BT19" s="56"/>
      <c r="BU19" s="152">
        <f>AVERAGE(BO19:BT19)</f>
        <v>4.4444444444444439E-2</v>
      </c>
      <c r="BV19" s="57">
        <f>BV18/36</f>
        <v>0.16666666666666666</v>
      </c>
      <c r="BW19" s="57">
        <f>BW18/36</f>
        <v>0.16666666666666666</v>
      </c>
      <c r="BX19" s="57">
        <f>BX18/36</f>
        <v>0.22222222222222221</v>
      </c>
      <c r="BY19" s="57">
        <f>BY18/36</f>
        <v>0.27777777777777779</v>
      </c>
      <c r="BZ19" s="57">
        <f>BZ18/36</f>
        <v>0.27777777777777779</v>
      </c>
      <c r="CA19" s="54"/>
      <c r="CB19" s="152">
        <f>AVERAGE(BV19:CA19)</f>
        <v>0.22222222222222224</v>
      </c>
      <c r="CC19" s="57">
        <f>CC18/40</f>
        <v>0.125</v>
      </c>
      <c r="CD19" s="57">
        <f>CD18/40</f>
        <v>0.125</v>
      </c>
      <c r="CE19" s="57">
        <f>CE18/40</f>
        <v>0.1</v>
      </c>
      <c r="CF19" s="57">
        <f>CF18/43</f>
        <v>0.16279069767441862</v>
      </c>
      <c r="CG19" s="57">
        <f>CG18/43</f>
        <v>0.18604651162790697</v>
      </c>
      <c r="CH19" s="57">
        <f>CH18/43</f>
        <v>0</v>
      </c>
      <c r="CI19" s="57">
        <f>AVERAGE(CC19:CH19)</f>
        <v>0.11647286821705426</v>
      </c>
      <c r="CJ19" s="57">
        <f>CJ18/56</f>
        <v>3.5714285714285712E-2</v>
      </c>
      <c r="CK19" s="57">
        <f>CK18/56</f>
        <v>5.3571428571428568E-2</v>
      </c>
      <c r="CL19" s="57">
        <f>CL18/56</f>
        <v>7.1428571428571425E-2</v>
      </c>
      <c r="CM19" s="57">
        <f>CM18/56</f>
        <v>7.1428571428571425E-2</v>
      </c>
      <c r="CN19" s="57">
        <f>CN18/56</f>
        <v>8.9285714285714288E-2</v>
      </c>
      <c r="CO19" s="54"/>
      <c r="CP19" s="57">
        <f>AVERAGE(CJ19:CO19)</f>
        <v>6.4285714285714279E-2</v>
      </c>
      <c r="CQ19" s="57">
        <f>CQ18/54</f>
        <v>0.16666666666666666</v>
      </c>
      <c r="CR19" s="57">
        <f>CR18/54</f>
        <v>0.16666666666666666</v>
      </c>
      <c r="CS19" s="57">
        <f>CS18/54</f>
        <v>0.12962962962962962</v>
      </c>
      <c r="CT19" s="57">
        <f>CT18/54</f>
        <v>0.12962962962962962</v>
      </c>
      <c r="CU19" s="57">
        <f>CU18/54</f>
        <v>0.22222222222222221</v>
      </c>
      <c r="CV19" s="54"/>
      <c r="CW19" s="57">
        <f>AVERAGE(CQ19:CV19)</f>
        <v>0.16296296296296295</v>
      </c>
      <c r="CX19" s="57"/>
      <c r="CY19" s="57">
        <f>CY18/54</f>
        <v>0.1111111111111111</v>
      </c>
      <c r="CZ19" s="57">
        <f>CZ18/54</f>
        <v>0.1111111111111111</v>
      </c>
      <c r="DA19" s="57">
        <f>DA18/54</f>
        <v>0.12962962962962962</v>
      </c>
      <c r="DB19" s="57">
        <f>DB18/54</f>
        <v>0.1111111111111111</v>
      </c>
      <c r="DC19" s="54"/>
      <c r="DD19" s="57">
        <f>AVERAGE(CX19:DC19)</f>
        <v>0.11574074074074074</v>
      </c>
      <c r="DE19" s="57">
        <f>DE18/54</f>
        <v>0.14814814814814814</v>
      </c>
      <c r="DF19" s="57">
        <f>DF18/54</f>
        <v>0.16666666666666666</v>
      </c>
      <c r="DG19" s="57">
        <f>DG18/54</f>
        <v>0.18518518518518517</v>
      </c>
      <c r="DH19" s="57">
        <f>DH18/54</f>
        <v>0.16666666666666666</v>
      </c>
      <c r="DI19" s="57">
        <f>DI18/54</f>
        <v>0.18518518518518517</v>
      </c>
      <c r="DJ19" s="57"/>
      <c r="DK19" s="57">
        <f t="shared" ref="DK19:DP19" si="75">DK18/54</f>
        <v>0.1111111111111111</v>
      </c>
      <c r="DL19" s="57">
        <f t="shared" si="75"/>
        <v>9.2592592592592587E-2</v>
      </c>
      <c r="DM19" s="57">
        <f t="shared" si="75"/>
        <v>7.407407407407407E-2</v>
      </c>
      <c r="DN19" s="57">
        <f t="shared" si="75"/>
        <v>1.8518518518518517E-2</v>
      </c>
      <c r="DO19" s="57">
        <f t="shared" si="75"/>
        <v>3.7037037037037035E-2</v>
      </c>
      <c r="DP19" s="57">
        <f t="shared" si="75"/>
        <v>3.7037037037037035E-2</v>
      </c>
      <c r="DQ19" s="56"/>
      <c r="DR19" s="57">
        <f>AVERAGE(DL19:DQ19)</f>
        <v>5.185185185185185E-2</v>
      </c>
      <c r="DS19" s="57">
        <f>DS18/54</f>
        <v>7.407407407407407E-2</v>
      </c>
      <c r="DT19" s="57">
        <f>DT18/54</f>
        <v>5.5555555555555552E-2</v>
      </c>
      <c r="DU19" s="57">
        <f>DU18/54</f>
        <v>5.5555555555555552E-2</v>
      </c>
      <c r="DV19" s="57">
        <f>DV18/54</f>
        <v>9.2592592592592587E-2</v>
      </c>
      <c r="DW19" s="56"/>
      <c r="DX19" s="56"/>
      <c r="DY19" s="57">
        <f>AVERAGE(DS19:DX19)</f>
        <v>6.9444444444444448E-2</v>
      </c>
      <c r="DZ19" s="57">
        <f>DZ18/54</f>
        <v>3.7037037037037035E-2</v>
      </c>
      <c r="EA19" s="57">
        <f>EA18/54</f>
        <v>5.5555555555555552E-2</v>
      </c>
      <c r="EB19" s="57">
        <f>EB18/54</f>
        <v>5.5555555555555552E-2</v>
      </c>
      <c r="EC19" s="57">
        <f>EC18/54</f>
        <v>5.5555555555555552E-2</v>
      </c>
      <c r="ED19" s="57">
        <f>ED18/54</f>
        <v>7.407407407407407E-2</v>
      </c>
      <c r="EE19" s="56"/>
      <c r="EF19" s="56"/>
      <c r="EG19" s="57">
        <f>AVERAGE(DZ19:EE19)</f>
        <v>5.5555555555555559E-2</v>
      </c>
      <c r="EH19" s="57">
        <f>EH18/58</f>
        <v>8.6206896551724144E-2</v>
      </c>
      <c r="EI19" s="57">
        <f>EI18/58</f>
        <v>6.8965517241379309E-2</v>
      </c>
      <c r="EJ19" s="57">
        <f>EJ18/57</f>
        <v>8.771929824561403E-2</v>
      </c>
      <c r="EK19" s="57">
        <f>EK18/57</f>
        <v>8.771929824561403E-2</v>
      </c>
      <c r="EL19" s="57">
        <f>EL18/57</f>
        <v>8.771929824561403E-2</v>
      </c>
      <c r="EM19" s="56"/>
      <c r="EN19" s="56"/>
      <c r="EO19" s="57">
        <f>AVERAGE(EI19:EN19)</f>
        <v>8.3030852994555343E-2</v>
      </c>
      <c r="EP19" s="57">
        <f>EP18/57</f>
        <v>5.2631578947368418E-2</v>
      </c>
      <c r="EQ19" s="57">
        <f>EQ18/57</f>
        <v>3.5087719298245612E-2</v>
      </c>
      <c r="ER19" s="57">
        <f>ER18/57</f>
        <v>8.771929824561403E-2</v>
      </c>
      <c r="ES19" s="57">
        <f>ES18/57</f>
        <v>7.0175438596491224E-2</v>
      </c>
      <c r="ET19" s="57">
        <f>ET18/57</f>
        <v>5.2631578947368418E-2</v>
      </c>
      <c r="EU19" s="56"/>
      <c r="EV19" s="56"/>
      <c r="EW19" s="57">
        <f>AVERAGE(EQ19:EV19)</f>
        <v>6.1403508771929821E-2</v>
      </c>
      <c r="EX19" s="57">
        <f>EX18/57</f>
        <v>5.2631578947368418E-2</v>
      </c>
      <c r="EY19" s="57">
        <f>EY18/57</f>
        <v>0.12280701754385964</v>
      </c>
      <c r="EZ19" s="57">
        <f>EZ18/57</f>
        <v>0.12280701754385964</v>
      </c>
      <c r="FA19" s="57">
        <f>FA18/57</f>
        <v>7.0175438596491224E-2</v>
      </c>
      <c r="FB19" s="57">
        <f>FB18/57</f>
        <v>8.771929824561403E-2</v>
      </c>
      <c r="FC19" s="56"/>
      <c r="FD19" s="56"/>
      <c r="FE19" s="57">
        <f>AVERAGE(EY19:FD19)</f>
        <v>0.10087719298245613</v>
      </c>
      <c r="FF19" s="57"/>
      <c r="FG19" s="57"/>
      <c r="FH19" s="57">
        <f>FH18/52</f>
        <v>5.7692307692307696E-2</v>
      </c>
      <c r="FI19" s="57">
        <f>FI18/52</f>
        <v>7.6923076923076927E-2</v>
      </c>
      <c r="FJ19" s="57">
        <f>FJ18/52</f>
        <v>9.6153846153846159E-2</v>
      </c>
      <c r="FK19" s="56"/>
      <c r="FL19" s="57">
        <f>AVERAGE(FF19:FK19)</f>
        <v>7.6923076923076927E-2</v>
      </c>
      <c r="FM19" s="57"/>
      <c r="FN19" s="57">
        <f>FN18/52</f>
        <v>0.11538461538461539</v>
      </c>
      <c r="FO19" s="57">
        <f>FO18/52</f>
        <v>0.13461538461538461</v>
      </c>
      <c r="FP19" s="57">
        <f>FP18/52</f>
        <v>0.11538461538461539</v>
      </c>
      <c r="FQ19" s="57">
        <f>FQ18/52</f>
        <v>7.6923076923076927E-2</v>
      </c>
      <c r="FR19" s="56"/>
      <c r="FS19" s="56"/>
      <c r="FT19" s="57">
        <f>AVERAGE(FM19:FR19)</f>
        <v>0.11057692307692309</v>
      </c>
      <c r="FU19" s="57">
        <f>FU18/52</f>
        <v>5.7692307692307696E-2</v>
      </c>
      <c r="FV19" s="57">
        <f>FV18/52</f>
        <v>0.11538461538461539</v>
      </c>
      <c r="FW19" s="57">
        <f>FW18/52</f>
        <v>9.6153846153846159E-2</v>
      </c>
      <c r="FX19" s="57">
        <f>FX18/52</f>
        <v>0.15384615384615385</v>
      </c>
      <c r="FY19" s="57">
        <f>FY18/52</f>
        <v>0.17307692307692307</v>
      </c>
      <c r="FZ19" s="56"/>
      <c r="GA19" s="57">
        <f>AVERAGE(FU19:FZ19)</f>
        <v>0.11923076923076922</v>
      </c>
      <c r="GB19" s="57"/>
      <c r="GC19" s="57"/>
      <c r="GD19" s="57"/>
      <c r="GE19" s="56"/>
      <c r="GF19" s="56"/>
      <c r="GG19" s="56"/>
      <c r="GH19" s="56"/>
      <c r="GI19" s="57"/>
      <c r="GJ19" s="57">
        <f>GJ18/52</f>
        <v>0.17307692307692307</v>
      </c>
      <c r="GK19" s="57">
        <f>GK18/52</f>
        <v>0.13461538461538461</v>
      </c>
      <c r="GL19" s="57">
        <f>GL18/52</f>
        <v>0.15384615384615385</v>
      </c>
      <c r="GM19" s="57">
        <f>GM18/52</f>
        <v>0.19230769230769232</v>
      </c>
      <c r="GN19" s="56"/>
      <c r="GO19" s="57">
        <f>AVERAGE(GI19:GN19)</f>
        <v>0.16346153846153846</v>
      </c>
      <c r="GP19" s="57"/>
      <c r="GQ19" s="57"/>
      <c r="GR19" s="57">
        <f>GR18/(SUM(GR17:GR18))</f>
        <v>8.5106382978723402E-2</v>
      </c>
      <c r="GS19" s="57">
        <f>GS18/(SUM(GS17:GS18))</f>
        <v>0.10869565217391304</v>
      </c>
      <c r="GT19" s="57">
        <f>GT18/(SUM(GT17:GT18))</f>
        <v>0.14893617021276595</v>
      </c>
      <c r="GU19" s="56"/>
      <c r="GV19" s="56"/>
      <c r="GW19" s="198">
        <f>AVERAGE(GQ19:GV19)</f>
        <v>0.11424606845513413</v>
      </c>
      <c r="GX19" s="220"/>
      <c r="GY19" s="57">
        <f>GY18/(SUM(GY17:GY18))</f>
        <v>0.17391304347826086</v>
      </c>
      <c r="GZ19" s="57">
        <f>GZ18/(SUM(GZ17:GZ18))</f>
        <v>0.1702127659574468</v>
      </c>
      <c r="HA19" s="57">
        <f>HA18/(SUM(HA17:HA18))</f>
        <v>0.23404255319148937</v>
      </c>
      <c r="HB19" s="56"/>
      <c r="HC19" s="56"/>
      <c r="HD19" s="221">
        <f>AVERAGE(GX19:HC19)</f>
        <v>0.19272278754239902</v>
      </c>
      <c r="HE19" s="57"/>
      <c r="HF19" s="57">
        <f>HF18/(SUM(HF17,HF18))</f>
        <v>0.1111111111111111</v>
      </c>
      <c r="HG19" s="57">
        <f>HG18/(SUM(HG17,HG18))</f>
        <v>0.22222222222222221</v>
      </c>
      <c r="HH19" s="57">
        <f>HH18/(SUM(HH17,HH18))</f>
        <v>0.2</v>
      </c>
      <c r="HI19" s="57">
        <f>HI18/(SUM(HI17,HI18))</f>
        <v>0.22222222222222221</v>
      </c>
      <c r="HJ19" s="56"/>
      <c r="HK19" s="89"/>
    </row>
    <row r="20" spans="1:219" s="6" customFormat="1" ht="15.75" thickBot="1" x14ac:dyDescent="0.3">
      <c r="B20" s="322"/>
      <c r="C20" s="132" t="s">
        <v>86</v>
      </c>
      <c r="D20" s="156"/>
      <c r="E20" s="60"/>
      <c r="F20" s="60"/>
      <c r="G20" s="60"/>
      <c r="H20" s="60"/>
      <c r="I20" s="60"/>
      <c r="J20" s="60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4"/>
      <c r="BB20" s="54"/>
      <c r="BC20" s="54"/>
      <c r="BD20" s="54"/>
      <c r="BE20" s="54"/>
      <c r="BF20" s="54"/>
      <c r="BG20" s="54"/>
      <c r="BH20" s="56"/>
      <c r="BI20" s="56"/>
      <c r="BJ20" s="56"/>
      <c r="BK20" s="56"/>
      <c r="BL20" s="56"/>
      <c r="BM20" s="56"/>
      <c r="BN20" s="56"/>
      <c r="BO20" s="56">
        <v>13</v>
      </c>
      <c r="BP20" s="56">
        <v>21</v>
      </c>
      <c r="BQ20" s="56">
        <v>21</v>
      </c>
      <c r="BR20" s="56">
        <v>13</v>
      </c>
      <c r="BS20" s="56">
        <v>36</v>
      </c>
      <c r="BT20" s="56"/>
      <c r="BU20" s="151">
        <f>BO20+BP20+BQ20+BR20+BS20+BT20</f>
        <v>104</v>
      </c>
      <c r="BV20" s="69">
        <v>24</v>
      </c>
      <c r="BW20" s="54">
        <v>28</v>
      </c>
      <c r="BX20" s="54">
        <v>28</v>
      </c>
      <c r="BY20" s="54">
        <v>20</v>
      </c>
      <c r="BZ20" s="54">
        <v>16</v>
      </c>
      <c r="CA20" s="54"/>
      <c r="CB20" s="151">
        <f>BV20+BW20+BX20+BY20+BZ20+CA20</f>
        <v>116</v>
      </c>
      <c r="CC20" s="54">
        <v>54</v>
      </c>
      <c r="CD20" s="54">
        <v>59</v>
      </c>
      <c r="CE20" s="54">
        <v>50</v>
      </c>
      <c r="CF20" s="54">
        <v>41</v>
      </c>
      <c r="CG20" s="54">
        <v>45</v>
      </c>
      <c r="CH20" s="54">
        <v>28</v>
      </c>
      <c r="CI20" s="54">
        <f>CC20+CD20+CE20+CF20+CG20+CH20</f>
        <v>277</v>
      </c>
      <c r="CJ20" s="54">
        <v>51</v>
      </c>
      <c r="CK20" s="54">
        <v>61</v>
      </c>
      <c r="CL20" s="54">
        <v>68</v>
      </c>
      <c r="CM20" s="54">
        <v>37</v>
      </c>
      <c r="CN20" s="54">
        <v>39</v>
      </c>
      <c r="CO20" s="54"/>
      <c r="CP20" s="54">
        <f>CJ20+CK20+CL20+CM20+CN20+CO20</f>
        <v>256</v>
      </c>
      <c r="CQ20" s="54">
        <v>42</v>
      </c>
      <c r="CR20" s="54">
        <v>38</v>
      </c>
      <c r="CS20" s="54">
        <v>61</v>
      </c>
      <c r="CT20" s="54">
        <v>51</v>
      </c>
      <c r="CU20" s="54">
        <v>39</v>
      </c>
      <c r="CV20" s="54"/>
      <c r="CW20" s="54">
        <f>CQ20+CR20+CS20+CT20+CU20+CV20</f>
        <v>231</v>
      </c>
      <c r="CX20" s="54"/>
      <c r="CY20" s="56">
        <v>30</v>
      </c>
      <c r="CZ20" s="56">
        <v>38</v>
      </c>
      <c r="DA20" s="56">
        <v>45</v>
      </c>
      <c r="DB20" s="56">
        <v>45</v>
      </c>
      <c r="DC20" s="56"/>
      <c r="DD20" s="56">
        <f>CX20+CY20+CZ20+DA20+DB20+DC20</f>
        <v>158</v>
      </c>
      <c r="DE20" s="56">
        <v>42</v>
      </c>
      <c r="DF20" s="56">
        <v>47</v>
      </c>
      <c r="DG20" s="56">
        <v>33</v>
      </c>
      <c r="DH20" s="56">
        <v>45</v>
      </c>
      <c r="DI20" s="56">
        <v>34</v>
      </c>
      <c r="DJ20" s="56"/>
      <c r="DK20" s="56">
        <v>45</v>
      </c>
      <c r="DL20" s="56">
        <v>55</v>
      </c>
      <c r="DM20" s="56">
        <v>33</v>
      </c>
      <c r="DN20" s="56">
        <v>31</v>
      </c>
      <c r="DO20" s="56">
        <v>26</v>
      </c>
      <c r="DP20" s="56">
        <v>26</v>
      </c>
      <c r="DQ20" s="56"/>
      <c r="DR20" s="56">
        <f>DL20+DM20+DN20+DO20+DP20+DQ20</f>
        <v>171</v>
      </c>
      <c r="DS20" s="56">
        <v>38</v>
      </c>
      <c r="DT20" s="56">
        <v>45</v>
      </c>
      <c r="DU20" s="56">
        <v>41</v>
      </c>
      <c r="DV20" s="56">
        <v>43</v>
      </c>
      <c r="DW20" s="56"/>
      <c r="DX20" s="56"/>
      <c r="DY20" s="56">
        <f>DS20+DT20+DU20+DV20+DW20+DX20</f>
        <v>167</v>
      </c>
      <c r="DZ20" s="56">
        <v>29</v>
      </c>
      <c r="EA20" s="56">
        <v>30</v>
      </c>
      <c r="EB20" s="56">
        <v>20</v>
      </c>
      <c r="EC20" s="56">
        <v>12</v>
      </c>
      <c r="ED20" s="56">
        <v>26</v>
      </c>
      <c r="EE20" s="56"/>
      <c r="EF20" s="56"/>
      <c r="EG20" s="56">
        <f>DZ20+EA20+EB20+EC20+ED20+EE20</f>
        <v>117</v>
      </c>
      <c r="EH20" s="56">
        <v>51</v>
      </c>
      <c r="EI20" s="56">
        <v>38</v>
      </c>
      <c r="EJ20" s="56">
        <v>28</v>
      </c>
      <c r="EK20" s="56">
        <v>37</v>
      </c>
      <c r="EL20" s="56">
        <v>31</v>
      </c>
      <c r="EM20" s="56"/>
      <c r="EN20" s="56"/>
      <c r="EO20" s="56">
        <f>EI20+EJ20+EK20+EL20+EM20+EN20+EH20</f>
        <v>185</v>
      </c>
      <c r="EP20" s="56">
        <v>25</v>
      </c>
      <c r="EQ20" s="56">
        <v>15</v>
      </c>
      <c r="ER20" s="56">
        <v>22</v>
      </c>
      <c r="ES20" s="56">
        <v>24</v>
      </c>
      <c r="ET20" s="56">
        <v>24</v>
      </c>
      <c r="EU20" s="56"/>
      <c r="EV20" s="56"/>
      <c r="EW20" s="56">
        <f>EQ20+ER20+ES20+ET20+EU20+EV20+EP20</f>
        <v>110</v>
      </c>
      <c r="EX20" s="56">
        <v>24</v>
      </c>
      <c r="EY20" s="56">
        <v>17</v>
      </c>
      <c r="EZ20" s="56">
        <v>15</v>
      </c>
      <c r="FA20" s="56">
        <v>24</v>
      </c>
      <c r="FB20" s="56">
        <v>33</v>
      </c>
      <c r="FC20" s="56"/>
      <c r="FD20" s="56"/>
      <c r="FE20" s="56">
        <f>EY20+EZ20+FA20+FB20+FC20+FD20+EX20</f>
        <v>113</v>
      </c>
      <c r="FF20" s="56"/>
      <c r="FG20" s="56"/>
      <c r="FH20" s="56">
        <v>38</v>
      </c>
      <c r="FI20" s="56">
        <v>30</v>
      </c>
      <c r="FJ20" s="56">
        <v>28</v>
      </c>
      <c r="FK20" s="56"/>
      <c r="FL20" s="56">
        <f>FF20+FG20+FH20+FI20+FJ20+FK20</f>
        <v>96</v>
      </c>
      <c r="FM20" s="56"/>
      <c r="FN20" s="56">
        <v>60</v>
      </c>
      <c r="FO20" s="56">
        <v>60</v>
      </c>
      <c r="FP20" s="56">
        <v>37</v>
      </c>
      <c r="FQ20" s="56">
        <v>29</v>
      </c>
      <c r="FR20" s="56"/>
      <c r="FS20" s="56"/>
      <c r="FT20" s="56">
        <f>FM20+FN20+FO20+FP20+FQ20+FR20</f>
        <v>186</v>
      </c>
      <c r="FU20" s="56">
        <v>28</v>
      </c>
      <c r="FV20" s="56">
        <v>29</v>
      </c>
      <c r="FW20" s="56">
        <v>40</v>
      </c>
      <c r="FX20" s="56">
        <v>28</v>
      </c>
      <c r="FY20" s="56">
        <v>39</v>
      </c>
      <c r="FZ20" s="56"/>
      <c r="GA20" s="56">
        <f>FU20+FV20+FW20+FX20+FY20+FZ20</f>
        <v>164</v>
      </c>
      <c r="GB20" s="56"/>
      <c r="GC20" s="56"/>
      <c r="GD20" s="56"/>
      <c r="GE20" s="56"/>
      <c r="GF20" s="56"/>
      <c r="GG20" s="56"/>
      <c r="GH20" s="56"/>
      <c r="GI20" s="56"/>
      <c r="GJ20" s="56">
        <v>37</v>
      </c>
      <c r="GK20" s="56">
        <v>30</v>
      </c>
      <c r="GL20" s="56">
        <v>40</v>
      </c>
      <c r="GM20" s="56">
        <v>56</v>
      </c>
      <c r="GN20" s="56"/>
      <c r="GO20" s="56">
        <f>GI20+GJ20+GK20+GL20+GM20+GN20</f>
        <v>163</v>
      </c>
      <c r="GP20" s="56"/>
      <c r="GQ20" s="56"/>
      <c r="GR20" s="56">
        <v>38</v>
      </c>
      <c r="GS20" s="56">
        <v>47</v>
      </c>
      <c r="GT20" s="56">
        <v>39</v>
      </c>
      <c r="GU20" s="56"/>
      <c r="GV20" s="56"/>
      <c r="GW20" s="199">
        <f>GQ20+GR20+GS20+GT20+GU20+GV20</f>
        <v>124</v>
      </c>
      <c r="GX20" s="218"/>
      <c r="GY20" s="56">
        <v>43</v>
      </c>
      <c r="GZ20" s="56">
        <v>39</v>
      </c>
      <c r="HA20" s="56">
        <v>34</v>
      </c>
      <c r="HB20" s="56"/>
      <c r="HC20" s="56"/>
      <c r="HD20" s="89">
        <f>GX20+GY20+GZ20+HA20+HB20+HC20</f>
        <v>116</v>
      </c>
      <c r="HE20" s="56"/>
      <c r="HF20" s="56">
        <v>42</v>
      </c>
      <c r="HG20" s="56">
        <v>46</v>
      </c>
      <c r="HH20" s="56">
        <v>44</v>
      </c>
      <c r="HI20" s="56">
        <v>40</v>
      </c>
      <c r="HJ20" s="56"/>
      <c r="HK20" s="89"/>
    </row>
    <row r="21" spans="1:219" s="6" customFormat="1" ht="15.75" thickBot="1" x14ac:dyDescent="0.3">
      <c r="B21" s="322"/>
      <c r="C21" s="132" t="s">
        <v>88</v>
      </c>
      <c r="D21" s="156"/>
      <c r="E21" s="60"/>
      <c r="F21" s="60"/>
      <c r="G21" s="60"/>
      <c r="H21" s="60"/>
      <c r="I21" s="60"/>
      <c r="J21" s="60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4"/>
      <c r="BB21" s="54"/>
      <c r="BC21" s="54"/>
      <c r="BD21" s="54"/>
      <c r="BE21" s="54"/>
      <c r="BF21" s="54"/>
      <c r="BG21" s="54"/>
      <c r="BH21" s="56"/>
      <c r="BI21" s="56"/>
      <c r="BJ21" s="56"/>
      <c r="BK21" s="56"/>
      <c r="BL21" s="56"/>
      <c r="BM21" s="56"/>
      <c r="BN21" s="56"/>
      <c r="BO21" s="57">
        <f>BO20/BO14</f>
        <v>0.20967741935483872</v>
      </c>
      <c r="BP21" s="57">
        <f t="shared" ref="BP21:BR21" si="76">BP20/BP14</f>
        <v>0.28767123287671231</v>
      </c>
      <c r="BQ21" s="57">
        <f t="shared" si="76"/>
        <v>0.29577464788732394</v>
      </c>
      <c r="BR21" s="57">
        <f t="shared" si="76"/>
        <v>0.16250000000000001</v>
      </c>
      <c r="BS21" s="57">
        <f>BS20/BS14</f>
        <v>0.55384615384615388</v>
      </c>
      <c r="BT21" s="56"/>
      <c r="BU21" s="114">
        <f>BU20/BU15</f>
        <v>0.29545454545454547</v>
      </c>
      <c r="BV21" s="57">
        <f>BV20/BV14</f>
        <v>0.25531914893617019</v>
      </c>
      <c r="BW21" s="57">
        <f>BW20/BW14</f>
        <v>0.28000000000000003</v>
      </c>
      <c r="BX21" s="57">
        <f>BX20/BX14</f>
        <v>0.29166666666666669</v>
      </c>
      <c r="BY21" s="57">
        <f>BY20/BY14</f>
        <v>0.18867924528301888</v>
      </c>
      <c r="BZ21" s="57">
        <f>BZ20/BZ14</f>
        <v>0.16842105263157894</v>
      </c>
      <c r="CA21" s="54"/>
      <c r="CB21" s="114">
        <f>CB20/CB15</f>
        <v>0.25272331154684097</v>
      </c>
      <c r="CC21" s="57">
        <f t="shared" ref="CC21:CK21" si="77">CC20/CC14</f>
        <v>0.3776223776223776</v>
      </c>
      <c r="CD21" s="57">
        <f t="shared" si="77"/>
        <v>0.32240437158469948</v>
      </c>
      <c r="CE21" s="57">
        <f t="shared" si="77"/>
        <v>0.35714285714285715</v>
      </c>
      <c r="CF21" s="57">
        <f t="shared" si="77"/>
        <v>0.25308641975308643</v>
      </c>
      <c r="CG21" s="57">
        <f t="shared" si="77"/>
        <v>0.33333333333333331</v>
      </c>
      <c r="CH21" s="57">
        <f t="shared" si="77"/>
        <v>0.26168224299065418</v>
      </c>
      <c r="CI21" s="57">
        <f>CI20/CI15</f>
        <v>0.31621004566210048</v>
      </c>
      <c r="CJ21" s="57">
        <f t="shared" si="77"/>
        <v>0.26288659793814434</v>
      </c>
      <c r="CK21" s="57">
        <f t="shared" si="77"/>
        <v>0.25416666666666665</v>
      </c>
      <c r="CL21" s="57">
        <f>CL20/CL14</f>
        <v>0.27755102040816326</v>
      </c>
      <c r="CM21" s="57">
        <f>CM20/CM14</f>
        <v>0.15948275862068967</v>
      </c>
      <c r="CN21" s="57">
        <f>CN20/CN14</f>
        <v>0.20418848167539266</v>
      </c>
      <c r="CO21" s="54"/>
      <c r="CP21" s="57">
        <f>CP20/CP15</f>
        <v>0.24380952380952381</v>
      </c>
      <c r="CQ21" s="57">
        <f t="shared" ref="CQ21:CU21" si="78">CQ20/CQ14</f>
        <v>0.21649484536082475</v>
      </c>
      <c r="CR21" s="57">
        <f t="shared" si="78"/>
        <v>0.19587628865979381</v>
      </c>
      <c r="CS21" s="57">
        <f t="shared" si="78"/>
        <v>0.28638497652582162</v>
      </c>
      <c r="CT21" s="57">
        <f t="shared" si="78"/>
        <v>0.22173913043478261</v>
      </c>
      <c r="CU21" s="57">
        <f t="shared" si="78"/>
        <v>0.19796954314720813</v>
      </c>
      <c r="CV21" s="54"/>
      <c r="CW21" s="57">
        <f>CW20/CW15</f>
        <v>0.22803553800592299</v>
      </c>
      <c r="CX21" s="57"/>
      <c r="CY21" s="57">
        <f t="shared" ref="CY21:DB21" si="79">CY20/CY14</f>
        <v>0.15</v>
      </c>
      <c r="CZ21" s="57">
        <f t="shared" si="79"/>
        <v>0.17924528301886791</v>
      </c>
      <c r="DA21" s="57">
        <f t="shared" si="79"/>
        <v>0.21844660194174756</v>
      </c>
      <c r="DB21" s="57">
        <f t="shared" si="79"/>
        <v>0.21844660194174756</v>
      </c>
      <c r="DC21" s="54"/>
      <c r="DD21" s="57">
        <f>DD20/DD15</f>
        <v>0.19627329192546583</v>
      </c>
      <c r="DE21" s="57">
        <f>DE20/DE14</f>
        <v>0.23204419889502761</v>
      </c>
      <c r="DF21" s="57">
        <f t="shared" ref="DF21:DG21" si="80">DF20/DF14</f>
        <v>0.25543478260869568</v>
      </c>
      <c r="DG21" s="57">
        <f t="shared" si="80"/>
        <v>0.20496894409937888</v>
      </c>
      <c r="DH21" s="57">
        <f t="shared" ref="DH21:DI21" si="81">DH20/DH14</f>
        <v>0.22388059701492538</v>
      </c>
      <c r="DI21" s="57">
        <f t="shared" si="81"/>
        <v>0.1691542288557214</v>
      </c>
      <c r="DJ21" s="57"/>
      <c r="DK21" s="57">
        <f t="shared" ref="DK21" si="82">DK20/DK14</f>
        <v>0.21844660194174756</v>
      </c>
      <c r="DL21" s="57">
        <f t="shared" ref="DL21:DP21" si="83">DL20/DL14</f>
        <v>0.26442307692307693</v>
      </c>
      <c r="DM21" s="57">
        <f t="shared" si="83"/>
        <v>0.16336633663366337</v>
      </c>
      <c r="DN21" s="57">
        <f t="shared" si="83"/>
        <v>0.14351851851851852</v>
      </c>
      <c r="DO21" s="57">
        <f t="shared" si="83"/>
        <v>0.1326530612244898</v>
      </c>
      <c r="DP21" s="57">
        <f t="shared" si="83"/>
        <v>0.1326530612244898</v>
      </c>
      <c r="DQ21" s="56"/>
      <c r="DR21" s="57">
        <f>DR20/DR15</f>
        <v>0.1688055281342547</v>
      </c>
      <c r="DS21" s="57">
        <f>DS20/DS14</f>
        <v>0.17674418604651163</v>
      </c>
      <c r="DT21" s="57">
        <f>DT20/DT14</f>
        <v>0.20930232558139536</v>
      </c>
      <c r="DU21" s="57">
        <f>DU20/DU14</f>
        <v>0.2019704433497537</v>
      </c>
      <c r="DV21" s="57">
        <f>DV20/DV14</f>
        <v>0.21287128712871287</v>
      </c>
      <c r="DW21" s="56"/>
      <c r="DX21" s="56"/>
      <c r="DY21" s="57">
        <f>DY20/DY15</f>
        <v>0.19833729216152018</v>
      </c>
      <c r="DZ21" s="57">
        <f>DZ20/DZ14</f>
        <v>0.13488372093023257</v>
      </c>
      <c r="EA21" s="57">
        <f>EA20/EA14</f>
        <v>0.14285714285714285</v>
      </c>
      <c r="EB21" s="57">
        <f>EB20/EB14</f>
        <v>9.8522167487684734E-2</v>
      </c>
      <c r="EC21" s="57">
        <f>EC20/EC14</f>
        <v>5.8536585365853662E-2</v>
      </c>
      <c r="ED21" s="57">
        <f>ED20/ED14</f>
        <v>0.12037037037037036</v>
      </c>
      <c r="EE21" s="56"/>
      <c r="EF21" s="56"/>
      <c r="EG21" s="57">
        <f>EG20/EG15</f>
        <v>0.11132254995242626</v>
      </c>
      <c r="EH21" s="57">
        <f>EH20/EH14</f>
        <v>0.25757575757575757</v>
      </c>
      <c r="EI21" s="57">
        <f>EI20/EI14</f>
        <v>0.18095238095238095</v>
      </c>
      <c r="EJ21" s="57">
        <f>EJ20/EJ14</f>
        <v>0.13793103448275862</v>
      </c>
      <c r="EK21" s="57">
        <f>EK20/EK14</f>
        <v>0.1796116504854369</v>
      </c>
      <c r="EL21" s="57">
        <f>EL20/EL14</f>
        <v>0.15270935960591134</v>
      </c>
      <c r="EM21" s="56"/>
      <c r="EN21" s="56"/>
      <c r="EO21" s="57">
        <f>EO20/EO15</f>
        <v>0.17891682785299806</v>
      </c>
      <c r="EP21" s="57">
        <f>EP20/EP14</f>
        <v>0.12626262626262627</v>
      </c>
      <c r="EQ21" s="57">
        <f>EQ20/EQ14</f>
        <v>6.9767441860465115E-2</v>
      </c>
      <c r="ER21" s="57">
        <f>ER20/ER14</f>
        <v>0.10232558139534884</v>
      </c>
      <c r="ES21" s="57">
        <f>ES20/ES14</f>
        <v>0.11881188118811881</v>
      </c>
      <c r="ET21" s="57">
        <f>ET20/ET14</f>
        <v>0.11162790697674418</v>
      </c>
      <c r="EU21" s="56"/>
      <c r="EV21" s="56"/>
      <c r="EW21" s="57">
        <f>EW20/EW15</f>
        <v>0.10446343779677113</v>
      </c>
      <c r="EX21" s="57">
        <f>EX20/EX14</f>
        <v>0.15584415584415584</v>
      </c>
      <c r="EY21" s="57">
        <f>EY20/EY14</f>
        <v>0.12592592592592591</v>
      </c>
      <c r="EZ21" s="57">
        <f>EZ20/EZ14</f>
        <v>7.7720207253886009E-2</v>
      </c>
      <c r="FA21" s="57">
        <f>FA20/FA14</f>
        <v>0.15286624203821655</v>
      </c>
      <c r="FB21" s="57">
        <f>FB20/FB14</f>
        <v>0.17647058823529413</v>
      </c>
      <c r="FC21" s="56"/>
      <c r="FD21" s="56"/>
      <c r="FE21" s="57">
        <f>FE20/FE15</f>
        <v>0.13452380952380952</v>
      </c>
      <c r="FF21" s="57"/>
      <c r="FG21" s="57"/>
      <c r="FH21" s="57">
        <f t="shared" ref="FH21:FJ21" si="84">FH20/FH14</f>
        <v>0.19791666666666666</v>
      </c>
      <c r="FI21" s="57">
        <f t="shared" si="84"/>
        <v>0.16304347826086957</v>
      </c>
      <c r="FJ21" s="57">
        <f t="shared" si="84"/>
        <v>0.1407035175879397</v>
      </c>
      <c r="FK21" s="56"/>
      <c r="FL21" s="57">
        <f>FL20/FL14</f>
        <v>0.16695652173913045</v>
      </c>
      <c r="FM21" s="57"/>
      <c r="FN21" s="57">
        <f t="shared" ref="FN21:FP21" si="85">FN20/FN14</f>
        <v>0.379746835443038</v>
      </c>
      <c r="FO21" s="57">
        <f t="shared" si="85"/>
        <v>0.33149171270718231</v>
      </c>
      <c r="FP21" s="57">
        <f t="shared" si="85"/>
        <v>0.22981366459627328</v>
      </c>
      <c r="FQ21" s="57">
        <f t="shared" ref="FQ21" si="86">FQ20/FQ14</f>
        <v>0.18831168831168832</v>
      </c>
      <c r="FR21" s="56"/>
      <c r="FS21" s="56"/>
      <c r="FT21" s="57">
        <f>FT20/FT14</f>
        <v>0.28440366972477066</v>
      </c>
      <c r="FU21" s="57">
        <f t="shared" ref="FU21:FY21" si="87">FU20/FU14</f>
        <v>0.14141414141414141</v>
      </c>
      <c r="FV21" s="57">
        <f t="shared" si="87"/>
        <v>0.14499999999999999</v>
      </c>
      <c r="FW21" s="57">
        <f t="shared" si="87"/>
        <v>0.2</v>
      </c>
      <c r="FX21" s="57">
        <f t="shared" si="87"/>
        <v>0.14141414141414141</v>
      </c>
      <c r="FY21" s="57">
        <f t="shared" si="87"/>
        <v>0.19796954314720813</v>
      </c>
      <c r="FZ21" s="56"/>
      <c r="GA21" s="57">
        <f>GA20/GA14</f>
        <v>0.16515609264853978</v>
      </c>
      <c r="GB21" s="57"/>
      <c r="GC21" s="57"/>
      <c r="GD21" s="57"/>
      <c r="GE21" s="56"/>
      <c r="GF21" s="56"/>
      <c r="GG21" s="56"/>
      <c r="GH21" s="56"/>
      <c r="GI21" s="57"/>
      <c r="GJ21" s="57">
        <f t="shared" ref="GJ21:GM21" si="88">GJ20/GJ14</f>
        <v>0.21022727272727273</v>
      </c>
      <c r="GK21" s="57">
        <f t="shared" si="88"/>
        <v>0.16759776536312848</v>
      </c>
      <c r="GL21" s="57">
        <f t="shared" si="88"/>
        <v>0.24242424242424243</v>
      </c>
      <c r="GM21" s="57">
        <f t="shared" si="88"/>
        <v>0.32941176470588235</v>
      </c>
      <c r="GN21" s="56"/>
      <c r="GO21" s="57">
        <f>GO20/GO14</f>
        <v>0.23623188405797102</v>
      </c>
      <c r="GP21" s="57"/>
      <c r="GQ21" s="57"/>
      <c r="GR21" s="57">
        <f t="shared" ref="GR21:GS21" si="89">GR20/GR14</f>
        <v>0.24836601307189543</v>
      </c>
      <c r="GS21" s="57">
        <f t="shared" si="89"/>
        <v>0.31333333333333335</v>
      </c>
      <c r="GT21" s="57">
        <f t="shared" ref="GT21" si="90">GT20/GT14</f>
        <v>0.25490196078431371</v>
      </c>
      <c r="GU21" s="56"/>
      <c r="GV21" s="56"/>
      <c r="GW21" s="198">
        <f>GW20/GW14</f>
        <v>0.27192982456140352</v>
      </c>
      <c r="GX21" s="220"/>
      <c r="GY21" s="57">
        <f t="shared" ref="GY21:HA21" si="91">GY20/GY14</f>
        <v>0.27388535031847133</v>
      </c>
      <c r="GZ21" s="57">
        <f t="shared" si="91"/>
        <v>0.24223602484472051</v>
      </c>
      <c r="HA21" s="57">
        <f t="shared" si="91"/>
        <v>0.2</v>
      </c>
      <c r="HB21" s="56"/>
      <c r="HC21" s="56"/>
      <c r="HD21" s="221">
        <f>HD20/HD14</f>
        <v>0.23770491803278687</v>
      </c>
      <c r="HE21" s="57"/>
      <c r="HF21" s="289">
        <f t="shared" ref="HF21:HG21" si="92">HF20/HF14</f>
        <v>0.28965517241379313</v>
      </c>
      <c r="HG21" s="289">
        <f t="shared" si="92"/>
        <v>0.26436781609195403</v>
      </c>
      <c r="HH21" s="289">
        <f t="shared" ref="HH21:HI21" si="93">HH20/HH14</f>
        <v>0.30136986301369861</v>
      </c>
      <c r="HI21" s="289">
        <f t="shared" si="93"/>
        <v>0.29629629629629628</v>
      </c>
      <c r="HJ21" s="56"/>
      <c r="HK21" s="89"/>
    </row>
    <row r="22" spans="1:219" s="6" customFormat="1" ht="19.5" thickBot="1" x14ac:dyDescent="0.35">
      <c r="B22" s="322"/>
      <c r="C22" s="132" t="s">
        <v>109</v>
      </c>
      <c r="D22" s="156"/>
      <c r="E22" s="60"/>
      <c r="F22" s="60"/>
      <c r="G22" s="60"/>
      <c r="H22" s="60"/>
      <c r="I22" s="60"/>
      <c r="J22" s="60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4"/>
      <c r="BB22" s="54"/>
      <c r="BC22" s="54"/>
      <c r="BD22" s="54"/>
      <c r="BE22" s="54"/>
      <c r="BF22" s="54"/>
      <c r="BG22" s="54"/>
      <c r="BH22" s="56"/>
      <c r="BI22" s="56"/>
      <c r="BJ22" s="56"/>
      <c r="BK22" s="56"/>
      <c r="BL22" s="56"/>
      <c r="BM22" s="56"/>
      <c r="BN22" s="56"/>
      <c r="BO22" s="57"/>
      <c r="BP22" s="57"/>
      <c r="BQ22" s="57"/>
      <c r="BR22" s="57"/>
      <c r="BS22" s="57"/>
      <c r="BT22" s="56"/>
      <c r="BU22" s="114"/>
      <c r="BV22" s="57"/>
      <c r="BW22" s="57"/>
      <c r="BX22" s="57"/>
      <c r="BY22" s="57"/>
      <c r="BZ22" s="57"/>
      <c r="CA22" s="54"/>
      <c r="CB22" s="114"/>
      <c r="CC22" s="57"/>
      <c r="CD22" s="113">
        <f>+((37*2)+(3*1))/(40*8)</f>
        <v>0.24062500000000001</v>
      </c>
      <c r="CE22" s="113">
        <f>+(11*1)/(40*8)</f>
        <v>3.4375000000000003E-2</v>
      </c>
      <c r="CF22" s="113">
        <f>+(25*1)/(40*9)</f>
        <v>6.9444444444444448E-2</v>
      </c>
      <c r="CG22" s="113">
        <f>+(25*1)/(40*9)</f>
        <v>6.9444444444444448E-2</v>
      </c>
      <c r="CH22" s="113"/>
      <c r="CI22" s="113">
        <f>AVERAGE(CC22:CG22)</f>
        <v>0.10347222222222222</v>
      </c>
      <c r="CJ22" s="113"/>
      <c r="CK22" s="113">
        <f>+(39*2)/(53*7.17)</f>
        <v>0.20525775637483223</v>
      </c>
      <c r="CL22" s="113">
        <f>+(40*2)/(52*7.17)</f>
        <v>0.214569252226156</v>
      </c>
      <c r="CM22" s="113">
        <f>+(42*2)/(52*7.17)</f>
        <v>0.2252977148374638</v>
      </c>
      <c r="CN22" s="113">
        <v>0</v>
      </c>
      <c r="CO22" s="54"/>
      <c r="CP22" s="113">
        <f>AVERAGE(CJ22:CN22)</f>
        <v>0.16128118085961302</v>
      </c>
      <c r="CQ22" s="113">
        <v>0</v>
      </c>
      <c r="CR22" s="113">
        <f>+(7*1)/(45*7)</f>
        <v>2.2222222222222223E-2</v>
      </c>
      <c r="CS22" s="113">
        <f>+(29*2)/(47*7)</f>
        <v>0.17629179331306991</v>
      </c>
      <c r="CT22" s="113">
        <f>+(29*2)/(47*7)</f>
        <v>0.17629179331306991</v>
      </c>
      <c r="CU22" s="54"/>
      <c r="CV22" s="54"/>
      <c r="CW22" s="113">
        <f>AVERAGE(CQ22:CU22)</f>
        <v>9.3701452212090502E-2</v>
      </c>
      <c r="CX22" s="113"/>
      <c r="CY22" s="113"/>
      <c r="CZ22" s="113"/>
      <c r="DA22" s="54"/>
      <c r="DB22" s="54"/>
      <c r="DC22" s="54"/>
      <c r="DD22" s="113"/>
      <c r="DE22" s="113"/>
      <c r="DF22" s="113"/>
      <c r="DG22" s="113"/>
      <c r="DH22" s="54"/>
      <c r="DI22" s="54"/>
      <c r="DJ22" s="54"/>
      <c r="DK22" s="54"/>
      <c r="DL22" s="54"/>
      <c r="DM22" s="113"/>
      <c r="DN22" s="113"/>
      <c r="DO22" s="56"/>
      <c r="DP22" s="56"/>
      <c r="DQ22" s="56"/>
      <c r="DR22" s="113"/>
      <c r="DS22" s="113"/>
      <c r="DT22" s="113"/>
      <c r="DU22" s="113"/>
      <c r="DV22" s="56"/>
      <c r="DW22" s="56"/>
      <c r="DX22" s="56"/>
      <c r="DY22" s="113"/>
      <c r="DZ22" s="113"/>
      <c r="EA22" s="113"/>
      <c r="EB22" s="113"/>
      <c r="EC22" s="56"/>
      <c r="ED22" s="56"/>
      <c r="EE22" s="115">
        <v>2.7E-2</v>
      </c>
      <c r="EF22" s="115"/>
      <c r="EG22" s="115">
        <v>2.7E-2</v>
      </c>
      <c r="EH22" s="56"/>
      <c r="EI22" s="113"/>
      <c r="EJ22" s="113"/>
      <c r="EK22" s="56"/>
      <c r="EL22" s="56"/>
      <c r="EM22" s="56"/>
      <c r="EN22" s="56"/>
      <c r="EO22" s="115"/>
      <c r="EP22" s="113"/>
      <c r="EQ22" s="113"/>
      <c r="ER22" s="113"/>
      <c r="ES22" s="56"/>
      <c r="ET22" s="56"/>
      <c r="EU22" s="56"/>
      <c r="EV22" s="56"/>
      <c r="EW22" s="56"/>
      <c r="EX22" s="113"/>
      <c r="EY22" s="113"/>
      <c r="EZ22" s="113"/>
      <c r="FA22" s="113"/>
      <c r="FB22" s="113"/>
      <c r="FC22" s="56"/>
      <c r="FD22" s="56"/>
      <c r="FE22" s="56"/>
      <c r="FF22" s="113"/>
      <c r="FG22" s="113"/>
      <c r="FH22" s="113"/>
      <c r="FI22" s="56"/>
      <c r="FJ22" s="56"/>
      <c r="FK22" s="56"/>
      <c r="FL22" s="56"/>
      <c r="FM22" s="113"/>
      <c r="FN22" s="113"/>
      <c r="FO22" s="113"/>
      <c r="FP22" s="56"/>
      <c r="FQ22" s="56"/>
      <c r="FR22" s="56"/>
      <c r="FS22" s="56"/>
      <c r="FT22" s="56"/>
      <c r="FU22" s="113"/>
      <c r="FV22" s="113"/>
      <c r="FW22" s="113"/>
      <c r="FX22" s="56"/>
      <c r="FY22" s="56"/>
      <c r="FZ22" s="56"/>
      <c r="GA22" s="56"/>
      <c r="GB22" s="113"/>
      <c r="GC22" s="113"/>
      <c r="GD22" s="113"/>
      <c r="GE22" s="56"/>
      <c r="GF22" s="56"/>
      <c r="GG22" s="56"/>
      <c r="GH22" s="56"/>
      <c r="GI22" s="113"/>
      <c r="GJ22" s="113"/>
      <c r="GK22" s="113"/>
      <c r="GL22" s="56"/>
      <c r="GM22" s="56"/>
      <c r="GN22" s="56"/>
      <c r="GO22" s="56"/>
      <c r="GP22" s="113"/>
      <c r="GQ22" s="113"/>
      <c r="GR22" s="113"/>
      <c r="GS22" s="56"/>
      <c r="GT22" s="56"/>
      <c r="GU22" s="56"/>
      <c r="GV22" s="56"/>
      <c r="GW22" s="198"/>
      <c r="GX22" s="220">
        <v>0</v>
      </c>
      <c r="GY22" s="57">
        <v>0</v>
      </c>
      <c r="GZ22" s="57">
        <v>0</v>
      </c>
      <c r="HA22" s="57">
        <v>0</v>
      </c>
      <c r="HB22" s="56"/>
      <c r="HC22" s="56"/>
      <c r="HD22" s="221">
        <v>0</v>
      </c>
      <c r="HE22" s="57"/>
      <c r="HF22" s="113"/>
      <c r="HG22" s="289">
        <f>+(26*2)/(35*8)</f>
        <v>0.18571428571428572</v>
      </c>
      <c r="HH22" s="113"/>
      <c r="HI22" s="113"/>
      <c r="HJ22" s="56"/>
      <c r="HK22" s="89"/>
    </row>
    <row r="23" spans="1:219" s="6" customFormat="1" ht="19.5" thickBot="1" x14ac:dyDescent="0.35">
      <c r="B23" s="322"/>
      <c r="C23" s="111" t="s">
        <v>179</v>
      </c>
      <c r="D23" s="156"/>
      <c r="E23" s="60"/>
      <c r="F23" s="60"/>
      <c r="G23" s="60"/>
      <c r="H23" s="60"/>
      <c r="I23" s="60"/>
      <c r="J23" s="60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4"/>
      <c r="BB23" s="54"/>
      <c r="BC23" s="54"/>
      <c r="BD23" s="54"/>
      <c r="BE23" s="54"/>
      <c r="BF23" s="54"/>
      <c r="BG23" s="54"/>
      <c r="BH23" s="56"/>
      <c r="BI23" s="56"/>
      <c r="BJ23" s="56"/>
      <c r="BK23" s="56"/>
      <c r="BL23" s="56"/>
      <c r="BM23" s="56"/>
      <c r="BN23" s="56"/>
      <c r="BO23" s="57"/>
      <c r="BP23" s="57"/>
      <c r="BQ23" s="57"/>
      <c r="BR23" s="57"/>
      <c r="BS23" s="57"/>
      <c r="BT23" s="56"/>
      <c r="BU23" s="114"/>
      <c r="BV23" s="57"/>
      <c r="BW23" s="57"/>
      <c r="BX23" s="57"/>
      <c r="BY23" s="57"/>
      <c r="BZ23" s="57"/>
      <c r="CA23" s="54"/>
      <c r="CB23" s="114"/>
      <c r="CC23" s="57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54"/>
      <c r="CP23" s="113"/>
      <c r="CQ23" s="113"/>
      <c r="CR23" s="113"/>
      <c r="CS23" s="113"/>
      <c r="CT23" s="113"/>
      <c r="CU23" s="54"/>
      <c r="CV23" s="54"/>
      <c r="CW23" s="113"/>
      <c r="CX23" s="113"/>
      <c r="CY23" s="113"/>
      <c r="CZ23" s="113"/>
      <c r="DA23" s="54"/>
      <c r="DB23" s="54"/>
      <c r="DC23" s="54"/>
      <c r="DD23" s="113"/>
      <c r="DE23" s="113"/>
      <c r="DF23" s="113"/>
      <c r="DG23" s="113"/>
      <c r="DH23" s="54"/>
      <c r="DI23" s="54"/>
      <c r="DJ23" s="54"/>
      <c r="DK23" s="54"/>
      <c r="DL23" s="54"/>
      <c r="DM23" s="113"/>
      <c r="DN23" s="113"/>
      <c r="DO23" s="56"/>
      <c r="DP23" s="56"/>
      <c r="DQ23" s="56"/>
      <c r="DR23" s="113"/>
      <c r="DS23" s="113"/>
      <c r="DT23" s="113"/>
      <c r="DU23" s="113"/>
      <c r="DV23" s="56"/>
      <c r="DW23" s="56"/>
      <c r="DX23" s="56"/>
      <c r="DY23" s="113"/>
      <c r="DZ23" s="113"/>
      <c r="EA23" s="113"/>
      <c r="EB23" s="113"/>
      <c r="EC23" s="56"/>
      <c r="ED23" s="56"/>
      <c r="EE23" s="115"/>
      <c r="EF23" s="115"/>
      <c r="EG23" s="115"/>
      <c r="EH23" s="56"/>
      <c r="EI23" s="113"/>
      <c r="EJ23" s="113"/>
      <c r="EK23" s="56"/>
      <c r="EL23" s="56"/>
      <c r="EM23" s="56"/>
      <c r="EN23" s="56"/>
      <c r="EO23" s="115"/>
      <c r="EP23" s="113"/>
      <c r="EQ23" s="113"/>
      <c r="ER23" s="113"/>
      <c r="ES23" s="56"/>
      <c r="ET23" s="56"/>
      <c r="EU23" s="56"/>
      <c r="EV23" s="56"/>
      <c r="EW23" s="56"/>
      <c r="EX23" s="113"/>
      <c r="EY23" s="113"/>
      <c r="EZ23" s="113"/>
      <c r="FA23" s="113"/>
      <c r="FB23" s="113"/>
      <c r="FC23" s="56"/>
      <c r="FD23" s="56"/>
      <c r="FE23" s="56"/>
      <c r="FF23" s="113"/>
      <c r="FG23" s="113"/>
      <c r="FH23" s="113"/>
      <c r="FI23" s="56"/>
      <c r="FJ23" s="56"/>
      <c r="FK23" s="56"/>
      <c r="FL23" s="56"/>
      <c r="FM23" s="113"/>
      <c r="FN23" s="113"/>
      <c r="FO23" s="113"/>
      <c r="FP23" s="56"/>
      <c r="FQ23" s="56"/>
      <c r="FR23" s="56"/>
      <c r="FS23" s="56"/>
      <c r="FT23" s="56"/>
      <c r="FU23" s="113"/>
      <c r="FV23" s="113"/>
      <c r="FW23" s="113"/>
      <c r="FX23" s="56"/>
      <c r="FY23" s="56"/>
      <c r="FZ23" s="56"/>
      <c r="GA23" s="56"/>
      <c r="GB23" s="113"/>
      <c r="GC23" s="113"/>
      <c r="GD23" s="113"/>
      <c r="GE23" s="56"/>
      <c r="GF23" s="56"/>
      <c r="GG23" s="56"/>
      <c r="GH23" s="56"/>
      <c r="GI23" s="113"/>
      <c r="GJ23" s="113"/>
      <c r="GK23" s="113"/>
      <c r="GL23" s="56"/>
      <c r="GM23" s="56"/>
      <c r="GN23" s="56"/>
      <c r="GO23" s="56"/>
      <c r="GP23" s="119"/>
      <c r="GQ23" s="120">
        <v>126</v>
      </c>
      <c r="GR23" s="120">
        <v>129</v>
      </c>
      <c r="GS23" s="69">
        <v>74</v>
      </c>
      <c r="GT23" s="69">
        <v>61</v>
      </c>
      <c r="GU23" s="69"/>
      <c r="GV23" s="69"/>
      <c r="GW23" s="199"/>
      <c r="GX23" s="223"/>
      <c r="GY23" s="69">
        <f>GY12-20</f>
        <v>102</v>
      </c>
      <c r="GZ23" s="69">
        <f>62</f>
        <v>62</v>
      </c>
      <c r="HA23" s="69">
        <v>24</v>
      </c>
      <c r="HB23" s="69"/>
      <c r="HC23" s="69"/>
      <c r="HD23" s="89"/>
      <c r="HE23" s="69"/>
      <c r="HF23" s="120">
        <v>138</v>
      </c>
      <c r="HG23" s="120">
        <v>24</v>
      </c>
      <c r="HH23" s="120">
        <v>16</v>
      </c>
      <c r="HI23" s="120">
        <v>9</v>
      </c>
      <c r="HJ23" s="69"/>
      <c r="HK23" s="118"/>
    </row>
    <row r="24" spans="1:219" s="6" customFormat="1" ht="19.5" thickBot="1" x14ac:dyDescent="0.35">
      <c r="B24" s="322"/>
      <c r="C24" s="112" t="s">
        <v>189</v>
      </c>
      <c r="D24" s="242"/>
      <c r="E24" s="243"/>
      <c r="F24" s="243"/>
      <c r="G24" s="243"/>
      <c r="H24" s="243"/>
      <c r="I24" s="243"/>
      <c r="J24" s="243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  <c r="AY24" s="244"/>
      <c r="AZ24" s="244"/>
      <c r="BA24" s="248"/>
      <c r="BB24" s="248"/>
      <c r="BC24" s="248"/>
      <c r="BD24" s="248"/>
      <c r="BE24" s="248"/>
      <c r="BF24" s="248"/>
      <c r="BG24" s="248"/>
      <c r="BH24" s="244"/>
      <c r="BI24" s="244"/>
      <c r="BJ24" s="244"/>
      <c r="BK24" s="244"/>
      <c r="BL24" s="244"/>
      <c r="BM24" s="244"/>
      <c r="BN24" s="244"/>
      <c r="BO24" s="245"/>
      <c r="BP24" s="245"/>
      <c r="BQ24" s="245"/>
      <c r="BR24" s="245"/>
      <c r="BS24" s="245"/>
      <c r="BT24" s="244"/>
      <c r="BU24" s="246"/>
      <c r="BV24" s="245"/>
      <c r="BW24" s="245"/>
      <c r="BX24" s="245"/>
      <c r="BY24" s="245"/>
      <c r="BZ24" s="245"/>
      <c r="CA24" s="248"/>
      <c r="CB24" s="246"/>
      <c r="CC24" s="245"/>
      <c r="CD24" s="247"/>
      <c r="CE24" s="247"/>
      <c r="CF24" s="247"/>
      <c r="CG24" s="247"/>
      <c r="CH24" s="247"/>
      <c r="CI24" s="247"/>
      <c r="CJ24" s="247"/>
      <c r="CK24" s="247"/>
      <c r="CL24" s="247"/>
      <c r="CM24" s="247"/>
      <c r="CN24" s="247"/>
      <c r="CO24" s="248"/>
      <c r="CP24" s="247"/>
      <c r="CQ24" s="247"/>
      <c r="CR24" s="247"/>
      <c r="CS24" s="247"/>
      <c r="CT24" s="247"/>
      <c r="CU24" s="248"/>
      <c r="CV24" s="248"/>
      <c r="CW24" s="247"/>
      <c r="CX24" s="247"/>
      <c r="CY24" s="247"/>
      <c r="CZ24" s="247"/>
      <c r="DA24" s="248"/>
      <c r="DB24" s="248"/>
      <c r="DC24" s="248"/>
      <c r="DD24" s="247"/>
      <c r="DE24" s="247"/>
      <c r="DF24" s="247"/>
      <c r="DG24" s="247"/>
      <c r="DH24" s="248"/>
      <c r="DI24" s="248"/>
      <c r="DJ24" s="248"/>
      <c r="DK24" s="248"/>
      <c r="DL24" s="248"/>
      <c r="DM24" s="247"/>
      <c r="DN24" s="247"/>
      <c r="DO24" s="244"/>
      <c r="DP24" s="244"/>
      <c r="DQ24" s="244"/>
      <c r="DR24" s="247"/>
      <c r="DS24" s="247"/>
      <c r="DT24" s="247"/>
      <c r="DU24" s="247"/>
      <c r="DV24" s="244"/>
      <c r="DW24" s="244"/>
      <c r="DX24" s="244"/>
      <c r="DY24" s="247"/>
      <c r="DZ24" s="247"/>
      <c r="EA24" s="247"/>
      <c r="EB24" s="247"/>
      <c r="EC24" s="244"/>
      <c r="ED24" s="244"/>
      <c r="EE24" s="254"/>
      <c r="EF24" s="254"/>
      <c r="EG24" s="254"/>
      <c r="EH24" s="244"/>
      <c r="EI24" s="247"/>
      <c r="EJ24" s="247"/>
      <c r="EK24" s="244"/>
      <c r="EL24" s="244"/>
      <c r="EM24" s="244"/>
      <c r="EN24" s="244"/>
      <c r="EO24" s="254"/>
      <c r="EP24" s="247"/>
      <c r="EQ24" s="247"/>
      <c r="ER24" s="247"/>
      <c r="ES24" s="244"/>
      <c r="ET24" s="244"/>
      <c r="EU24" s="244"/>
      <c r="EV24" s="244"/>
      <c r="EW24" s="244"/>
      <c r="EX24" s="247"/>
      <c r="EY24" s="247"/>
      <c r="EZ24" s="247"/>
      <c r="FA24" s="247"/>
      <c r="FB24" s="247"/>
      <c r="FC24" s="244"/>
      <c r="FD24" s="244"/>
      <c r="FE24" s="244"/>
      <c r="FF24" s="247"/>
      <c r="FG24" s="247"/>
      <c r="FH24" s="247"/>
      <c r="FI24" s="244"/>
      <c r="FJ24" s="244"/>
      <c r="FK24" s="244"/>
      <c r="FL24" s="244"/>
      <c r="FM24" s="247"/>
      <c r="FN24" s="247"/>
      <c r="FO24" s="247"/>
      <c r="FP24" s="244"/>
      <c r="FQ24" s="244"/>
      <c r="FR24" s="244"/>
      <c r="FS24" s="244"/>
      <c r="FT24" s="244"/>
      <c r="FU24" s="247"/>
      <c r="FV24" s="247"/>
      <c r="FW24" s="247"/>
      <c r="FX24" s="244"/>
      <c r="FY24" s="244"/>
      <c r="FZ24" s="244"/>
      <c r="GA24" s="244"/>
      <c r="GB24" s="247"/>
      <c r="GC24" s="247"/>
      <c r="GD24" s="247"/>
      <c r="GE24" s="244"/>
      <c r="GF24" s="244"/>
      <c r="GG24" s="244"/>
      <c r="GH24" s="244"/>
      <c r="GI24" s="247"/>
      <c r="GJ24" s="247"/>
      <c r="GK24" s="247"/>
      <c r="GL24" s="244"/>
      <c r="GM24" s="244"/>
      <c r="GN24" s="244"/>
      <c r="GO24" s="244"/>
      <c r="GP24" s="255"/>
      <c r="GQ24" s="256">
        <v>46</v>
      </c>
      <c r="GR24" s="256">
        <v>105</v>
      </c>
      <c r="GS24" s="244">
        <v>109</v>
      </c>
      <c r="GT24" s="244">
        <v>123</v>
      </c>
      <c r="GU24" s="244"/>
      <c r="GV24" s="244"/>
      <c r="GW24" s="250"/>
      <c r="GX24" s="257">
        <f>+GX13</f>
        <v>52</v>
      </c>
      <c r="GY24" s="258">
        <v>66</v>
      </c>
      <c r="GZ24" s="258">
        <v>96</v>
      </c>
      <c r="HA24" s="244">
        <v>71</v>
      </c>
      <c r="HB24" s="244"/>
      <c r="HC24" s="244"/>
      <c r="HD24" s="252"/>
      <c r="HE24" s="244"/>
      <c r="HF24" s="256">
        <v>102</v>
      </c>
      <c r="HG24" s="256">
        <v>69</v>
      </c>
      <c r="HH24" s="256">
        <v>103</v>
      </c>
      <c r="HI24" s="256">
        <v>81</v>
      </c>
      <c r="HJ24" s="244"/>
      <c r="HK24" s="252"/>
    </row>
    <row r="25" spans="1:219" s="121" customFormat="1" ht="18" customHeight="1" thickBot="1" x14ac:dyDescent="0.35">
      <c r="A25" s="6"/>
      <c r="B25" s="323" t="s">
        <v>7</v>
      </c>
      <c r="C25" s="122" t="s">
        <v>4</v>
      </c>
      <c r="D25" s="262">
        <f t="shared" ref="D25:AI25" si="94">D3+D14</f>
        <v>0</v>
      </c>
      <c r="E25" s="263">
        <f t="shared" si="94"/>
        <v>0</v>
      </c>
      <c r="F25" s="263">
        <f t="shared" si="94"/>
        <v>0</v>
      </c>
      <c r="G25" s="263">
        <f t="shared" si="94"/>
        <v>0</v>
      </c>
      <c r="H25" s="263">
        <f t="shared" si="94"/>
        <v>0</v>
      </c>
      <c r="I25" s="263">
        <f t="shared" si="94"/>
        <v>0</v>
      </c>
      <c r="J25" s="263">
        <f t="shared" si="94"/>
        <v>0</v>
      </c>
      <c r="K25" s="264">
        <f t="shared" si="94"/>
        <v>7</v>
      </c>
      <c r="L25" s="264">
        <f t="shared" si="94"/>
        <v>0</v>
      </c>
      <c r="M25" s="264">
        <f t="shared" si="94"/>
        <v>185</v>
      </c>
      <c r="N25" s="264">
        <f t="shared" si="94"/>
        <v>187</v>
      </c>
      <c r="O25" s="264">
        <f t="shared" si="94"/>
        <v>196</v>
      </c>
      <c r="P25" s="264">
        <f t="shared" si="94"/>
        <v>0</v>
      </c>
      <c r="Q25" s="264">
        <f t="shared" si="94"/>
        <v>0</v>
      </c>
      <c r="R25" s="264">
        <f t="shared" si="94"/>
        <v>205</v>
      </c>
      <c r="S25" s="264">
        <f t="shared" si="94"/>
        <v>211</v>
      </c>
      <c r="T25" s="264">
        <f t="shared" si="94"/>
        <v>215</v>
      </c>
      <c r="U25" s="264">
        <f t="shared" si="94"/>
        <v>212</v>
      </c>
      <c r="V25" s="264">
        <f t="shared" si="94"/>
        <v>192</v>
      </c>
      <c r="W25" s="264">
        <f t="shared" si="94"/>
        <v>0</v>
      </c>
      <c r="X25" s="264">
        <f t="shared" si="94"/>
        <v>0</v>
      </c>
      <c r="Y25" s="264">
        <f t="shared" si="94"/>
        <v>203</v>
      </c>
      <c r="Z25" s="264">
        <f t="shared" si="94"/>
        <v>157</v>
      </c>
      <c r="AA25" s="264">
        <f t="shared" si="94"/>
        <v>194</v>
      </c>
      <c r="AB25" s="264">
        <f t="shared" si="94"/>
        <v>190</v>
      </c>
      <c r="AC25" s="264">
        <f t="shared" si="94"/>
        <v>195</v>
      </c>
      <c r="AD25" s="264">
        <f t="shared" si="94"/>
        <v>150</v>
      </c>
      <c r="AE25" s="264">
        <f t="shared" si="94"/>
        <v>0</v>
      </c>
      <c r="AF25" s="264">
        <f t="shared" si="94"/>
        <v>186</v>
      </c>
      <c r="AG25" s="264">
        <f t="shared" si="94"/>
        <v>191</v>
      </c>
      <c r="AH25" s="264">
        <f t="shared" si="94"/>
        <v>187</v>
      </c>
      <c r="AI25" s="264">
        <f t="shared" si="94"/>
        <v>201</v>
      </c>
      <c r="AJ25" s="264">
        <f t="shared" ref="AJ25:BO25" si="95">AJ3+AJ14</f>
        <v>170</v>
      </c>
      <c r="AK25" s="264">
        <f t="shared" si="95"/>
        <v>73</v>
      </c>
      <c r="AL25" s="264">
        <f t="shared" si="95"/>
        <v>0</v>
      </c>
      <c r="AM25" s="264">
        <f t="shared" si="95"/>
        <v>59</v>
      </c>
      <c r="AN25" s="264">
        <f t="shared" si="95"/>
        <v>194</v>
      </c>
      <c r="AO25" s="264">
        <f t="shared" si="95"/>
        <v>216</v>
      </c>
      <c r="AP25" s="264">
        <f t="shared" si="95"/>
        <v>220</v>
      </c>
      <c r="AQ25" s="264">
        <f t="shared" si="95"/>
        <v>180</v>
      </c>
      <c r="AR25" s="264">
        <f t="shared" si="95"/>
        <v>0</v>
      </c>
      <c r="AS25" s="264">
        <f t="shared" si="95"/>
        <v>0</v>
      </c>
      <c r="AT25" s="264">
        <f t="shared" si="95"/>
        <v>202</v>
      </c>
      <c r="AU25" s="264">
        <f t="shared" si="95"/>
        <v>177</v>
      </c>
      <c r="AV25" s="264">
        <f t="shared" si="95"/>
        <v>232</v>
      </c>
      <c r="AW25" s="264">
        <f t="shared" si="95"/>
        <v>220</v>
      </c>
      <c r="AX25" s="264">
        <f t="shared" si="95"/>
        <v>212</v>
      </c>
      <c r="AY25" s="264">
        <f t="shared" si="95"/>
        <v>0</v>
      </c>
      <c r="AZ25" s="264">
        <f t="shared" si="95"/>
        <v>0</v>
      </c>
      <c r="BA25" s="264">
        <f t="shared" si="95"/>
        <v>173</v>
      </c>
      <c r="BB25" s="264">
        <f t="shared" si="95"/>
        <v>205</v>
      </c>
      <c r="BC25" s="264">
        <f t="shared" si="95"/>
        <v>215</v>
      </c>
      <c r="BD25" s="264">
        <f t="shared" si="95"/>
        <v>218</v>
      </c>
      <c r="BE25" s="264">
        <f t="shared" si="95"/>
        <v>208</v>
      </c>
      <c r="BF25" s="264">
        <f t="shared" si="95"/>
        <v>118</v>
      </c>
      <c r="BG25" s="264">
        <f t="shared" si="95"/>
        <v>0</v>
      </c>
      <c r="BH25" s="264">
        <f t="shared" si="95"/>
        <v>205</v>
      </c>
      <c r="BI25" s="264">
        <f t="shared" si="95"/>
        <v>225</v>
      </c>
      <c r="BJ25" s="264">
        <f t="shared" si="95"/>
        <v>233</v>
      </c>
      <c r="BK25" s="264">
        <f t="shared" si="95"/>
        <v>236</v>
      </c>
      <c r="BL25" s="264">
        <f t="shared" si="95"/>
        <v>235</v>
      </c>
      <c r="BM25" s="264">
        <f t="shared" si="95"/>
        <v>27</v>
      </c>
      <c r="BN25" s="264">
        <f t="shared" si="95"/>
        <v>0</v>
      </c>
      <c r="BO25" s="264">
        <f t="shared" si="95"/>
        <v>227</v>
      </c>
      <c r="BP25" s="264">
        <f t="shared" ref="BP25:CU25" si="96">BP3+BP14</f>
        <v>241</v>
      </c>
      <c r="BQ25" s="264">
        <f t="shared" si="96"/>
        <v>246</v>
      </c>
      <c r="BR25" s="264">
        <f t="shared" si="96"/>
        <v>213</v>
      </c>
      <c r="BS25" s="264">
        <f t="shared" si="96"/>
        <v>236</v>
      </c>
      <c r="BT25" s="264">
        <f t="shared" si="96"/>
        <v>55</v>
      </c>
      <c r="BU25" s="264">
        <f t="shared" si="96"/>
        <v>1218</v>
      </c>
      <c r="BV25" s="264">
        <f t="shared" si="96"/>
        <v>252</v>
      </c>
      <c r="BW25" s="264">
        <f t="shared" si="96"/>
        <v>243</v>
      </c>
      <c r="BX25" s="264">
        <f t="shared" si="96"/>
        <v>229</v>
      </c>
      <c r="BY25" s="264">
        <f t="shared" si="96"/>
        <v>263</v>
      </c>
      <c r="BZ25" s="264">
        <f t="shared" si="96"/>
        <v>276</v>
      </c>
      <c r="CA25" s="264">
        <f t="shared" si="96"/>
        <v>121</v>
      </c>
      <c r="CB25" s="264">
        <f t="shared" si="96"/>
        <v>1384</v>
      </c>
      <c r="CC25" s="264">
        <f t="shared" si="96"/>
        <v>311</v>
      </c>
      <c r="CD25" s="264">
        <f t="shared" si="96"/>
        <v>351</v>
      </c>
      <c r="CE25" s="264">
        <f t="shared" si="96"/>
        <v>294</v>
      </c>
      <c r="CF25" s="264">
        <f t="shared" si="96"/>
        <v>340</v>
      </c>
      <c r="CG25" s="264">
        <f t="shared" si="96"/>
        <v>308</v>
      </c>
      <c r="CH25" s="264">
        <f t="shared" si="96"/>
        <v>264</v>
      </c>
      <c r="CI25" s="264">
        <f t="shared" si="96"/>
        <v>1868</v>
      </c>
      <c r="CJ25" s="264">
        <f t="shared" si="96"/>
        <v>350</v>
      </c>
      <c r="CK25" s="264">
        <f t="shared" si="96"/>
        <v>406</v>
      </c>
      <c r="CL25" s="264">
        <f t="shared" si="96"/>
        <v>429</v>
      </c>
      <c r="CM25" s="264">
        <f t="shared" si="96"/>
        <v>412</v>
      </c>
      <c r="CN25" s="264">
        <f t="shared" si="96"/>
        <v>364</v>
      </c>
      <c r="CO25" s="264">
        <f t="shared" si="96"/>
        <v>78</v>
      </c>
      <c r="CP25" s="264">
        <f t="shared" si="96"/>
        <v>2039</v>
      </c>
      <c r="CQ25" s="264">
        <f t="shared" si="96"/>
        <v>394</v>
      </c>
      <c r="CR25" s="264">
        <f t="shared" si="96"/>
        <v>396</v>
      </c>
      <c r="CS25" s="264">
        <f t="shared" si="96"/>
        <v>425</v>
      </c>
      <c r="CT25" s="264">
        <f t="shared" si="96"/>
        <v>426</v>
      </c>
      <c r="CU25" s="264">
        <f t="shared" si="96"/>
        <v>396</v>
      </c>
      <c r="CV25" s="265"/>
      <c r="CW25" s="264">
        <f>CW3+CW14</f>
        <v>2037</v>
      </c>
      <c r="CX25" s="264"/>
      <c r="CY25" s="264">
        <f t="shared" ref="CY25:DI25" si="97">CY3+CY14</f>
        <v>394</v>
      </c>
      <c r="CZ25" s="264">
        <f t="shared" si="97"/>
        <v>423</v>
      </c>
      <c r="DA25" s="264">
        <f t="shared" si="97"/>
        <v>368</v>
      </c>
      <c r="DB25" s="264">
        <f t="shared" si="97"/>
        <v>390</v>
      </c>
      <c r="DC25" s="264">
        <f t="shared" si="97"/>
        <v>87</v>
      </c>
      <c r="DD25" s="264">
        <f t="shared" si="97"/>
        <v>1662</v>
      </c>
      <c r="DE25" s="264">
        <f t="shared" si="97"/>
        <v>372</v>
      </c>
      <c r="DF25" s="264">
        <f t="shared" si="97"/>
        <v>385</v>
      </c>
      <c r="DG25" s="264">
        <f t="shared" si="97"/>
        <v>341</v>
      </c>
      <c r="DH25" s="264">
        <f t="shared" si="97"/>
        <v>409</v>
      </c>
      <c r="DI25" s="264">
        <f t="shared" si="97"/>
        <v>407</v>
      </c>
      <c r="DJ25" s="264"/>
      <c r="DK25" s="264">
        <f t="shared" ref="DK25:DP26" si="98">DK3+DK14</f>
        <v>1192</v>
      </c>
      <c r="DL25" s="264">
        <f t="shared" si="98"/>
        <v>396</v>
      </c>
      <c r="DM25" s="264">
        <f t="shared" si="98"/>
        <v>409</v>
      </c>
      <c r="DN25" s="264">
        <f t="shared" si="98"/>
        <v>415</v>
      </c>
      <c r="DO25" s="264">
        <f t="shared" si="98"/>
        <v>365</v>
      </c>
      <c r="DP25" s="264">
        <f t="shared" si="98"/>
        <v>385</v>
      </c>
      <c r="DQ25" s="265"/>
      <c r="DR25" s="264">
        <f t="shared" ref="DR25:DV26" si="99">DR3+DR14</f>
        <v>1970</v>
      </c>
      <c r="DS25" s="264">
        <f t="shared" si="99"/>
        <v>430</v>
      </c>
      <c r="DT25" s="264">
        <f t="shared" si="99"/>
        <v>430</v>
      </c>
      <c r="DU25" s="264">
        <f t="shared" si="99"/>
        <v>418</v>
      </c>
      <c r="DV25" s="264">
        <f t="shared" si="99"/>
        <v>417</v>
      </c>
      <c r="DW25" s="265"/>
      <c r="DX25" s="265"/>
      <c r="DY25" s="264">
        <f t="shared" ref="DY25:ED26" si="100">DY3+DY14</f>
        <v>1695</v>
      </c>
      <c r="DZ25" s="264">
        <f t="shared" si="100"/>
        <v>408</v>
      </c>
      <c r="EA25" s="264">
        <f t="shared" si="100"/>
        <v>418</v>
      </c>
      <c r="EB25" s="264">
        <f t="shared" si="100"/>
        <v>411</v>
      </c>
      <c r="EC25" s="264">
        <f t="shared" si="100"/>
        <v>409</v>
      </c>
      <c r="ED25" s="264">
        <f t="shared" si="100"/>
        <v>389</v>
      </c>
      <c r="EE25" s="265"/>
      <c r="EF25" s="265"/>
      <c r="EG25" s="264">
        <f t="shared" ref="EG25:EL26" si="101">EG3+EG14</f>
        <v>2035</v>
      </c>
      <c r="EH25" s="264">
        <f t="shared" si="101"/>
        <v>401</v>
      </c>
      <c r="EI25" s="264">
        <f t="shared" si="101"/>
        <v>422</v>
      </c>
      <c r="EJ25" s="264">
        <f t="shared" si="101"/>
        <v>403</v>
      </c>
      <c r="EK25" s="264">
        <f t="shared" si="101"/>
        <v>396</v>
      </c>
      <c r="EL25" s="264">
        <f t="shared" si="101"/>
        <v>418</v>
      </c>
      <c r="EM25" s="265"/>
      <c r="EN25" s="265"/>
      <c r="EO25" s="264">
        <f t="shared" ref="EO25:ET26" si="102">EO3+EO14</f>
        <v>2040</v>
      </c>
      <c r="EP25" s="264">
        <f t="shared" si="102"/>
        <v>390</v>
      </c>
      <c r="EQ25" s="264">
        <f t="shared" si="102"/>
        <v>415</v>
      </c>
      <c r="ER25" s="264">
        <f t="shared" si="102"/>
        <v>419</v>
      </c>
      <c r="ES25" s="264">
        <f t="shared" si="102"/>
        <v>408</v>
      </c>
      <c r="ET25" s="264">
        <f t="shared" si="102"/>
        <v>420</v>
      </c>
      <c r="EU25" s="265"/>
      <c r="EV25" s="265"/>
      <c r="EW25" s="264">
        <f t="shared" ref="EW25:FB26" si="103">EW3+EW14</f>
        <v>2052</v>
      </c>
      <c r="EX25" s="264">
        <f t="shared" si="103"/>
        <v>350</v>
      </c>
      <c r="EY25" s="264">
        <f t="shared" si="103"/>
        <v>260</v>
      </c>
      <c r="EZ25" s="264">
        <f t="shared" si="103"/>
        <v>320</v>
      </c>
      <c r="FA25" s="264">
        <f t="shared" si="103"/>
        <v>157</v>
      </c>
      <c r="FB25" s="264">
        <f t="shared" si="103"/>
        <v>375</v>
      </c>
      <c r="FC25" s="265"/>
      <c r="FD25" s="265"/>
      <c r="FE25" s="264">
        <f>FE3+FE14</f>
        <v>1462</v>
      </c>
      <c r="FF25" s="265"/>
      <c r="FG25" s="265"/>
      <c r="FH25" s="264">
        <f t="shared" ref="FH25:FJ26" si="104">FH3+FH14</f>
        <v>340</v>
      </c>
      <c r="FI25" s="264">
        <f t="shared" si="104"/>
        <v>353</v>
      </c>
      <c r="FJ25" s="264">
        <f t="shared" si="104"/>
        <v>354</v>
      </c>
      <c r="FK25" s="265"/>
      <c r="FL25" s="264">
        <f>FL3+FL14</f>
        <v>1047</v>
      </c>
      <c r="FM25" s="264"/>
      <c r="FN25" s="264">
        <f t="shared" ref="FN25:FQ26" si="105">FN3+FN14</f>
        <v>313</v>
      </c>
      <c r="FO25" s="264">
        <f t="shared" si="105"/>
        <v>375</v>
      </c>
      <c r="FP25" s="264">
        <f t="shared" si="105"/>
        <v>356</v>
      </c>
      <c r="FQ25" s="264">
        <f t="shared" si="105"/>
        <v>321</v>
      </c>
      <c r="FR25" s="265"/>
      <c r="FS25" s="265"/>
      <c r="FT25" s="264">
        <f t="shared" ref="FT25:FY26" si="106">FT3+FT14</f>
        <v>1365</v>
      </c>
      <c r="FU25" s="264">
        <f t="shared" si="106"/>
        <v>382</v>
      </c>
      <c r="FV25" s="264">
        <f t="shared" si="106"/>
        <v>389</v>
      </c>
      <c r="FW25" s="264">
        <f t="shared" si="106"/>
        <v>374</v>
      </c>
      <c r="FX25" s="264">
        <f t="shared" si="106"/>
        <v>369</v>
      </c>
      <c r="FY25" s="264">
        <f t="shared" si="106"/>
        <v>352</v>
      </c>
      <c r="FZ25" s="265"/>
      <c r="GA25" s="264">
        <f>GA3+GA14</f>
        <v>1866</v>
      </c>
      <c r="GB25" s="265"/>
      <c r="GC25" s="265"/>
      <c r="GD25" s="265"/>
      <c r="GE25" s="265"/>
      <c r="GF25" s="265"/>
      <c r="GG25" s="265"/>
      <c r="GH25" s="265"/>
      <c r="GI25" s="264">
        <f t="shared" ref="GI25:GM26" si="107">GI3+GI14</f>
        <v>74</v>
      </c>
      <c r="GJ25" s="264">
        <f t="shared" si="107"/>
        <v>328</v>
      </c>
      <c r="GK25" s="264">
        <f t="shared" si="107"/>
        <v>354</v>
      </c>
      <c r="GL25" s="264">
        <f t="shared" si="107"/>
        <v>320</v>
      </c>
      <c r="GM25" s="264">
        <f t="shared" si="107"/>
        <v>338</v>
      </c>
      <c r="GN25" s="265"/>
      <c r="GO25" s="264">
        <f>GO3+GO14</f>
        <v>1414</v>
      </c>
      <c r="GP25" s="264"/>
      <c r="GQ25" s="264">
        <f t="shared" ref="GQ25:GS26" si="108">GQ3+GQ14</f>
        <v>148</v>
      </c>
      <c r="GR25" s="264">
        <f t="shared" si="108"/>
        <v>321</v>
      </c>
      <c r="GS25" s="266">
        <f t="shared" si="108"/>
        <v>314</v>
      </c>
      <c r="GT25" s="266">
        <f t="shared" ref="GT25" si="109">GT3+GT14</f>
        <v>318</v>
      </c>
      <c r="GU25" s="267"/>
      <c r="GV25" s="267"/>
      <c r="GW25" s="268">
        <f>GW3+GW14</f>
        <v>1101</v>
      </c>
      <c r="GX25" s="269">
        <f t="shared" ref="GX25:GY26" si="110">GX3+GX14</f>
        <v>146</v>
      </c>
      <c r="GY25" s="266">
        <f t="shared" si="110"/>
        <v>305</v>
      </c>
      <c r="GZ25" s="266">
        <f t="shared" ref="GZ25:HA25" si="111">GZ3+GZ14</f>
        <v>313</v>
      </c>
      <c r="HA25" s="266">
        <f t="shared" si="111"/>
        <v>316</v>
      </c>
      <c r="HB25" s="267"/>
      <c r="HC25" s="267"/>
      <c r="HD25" s="270">
        <f t="shared" ref="HD25:HF26" si="112">HD3+HD14</f>
        <v>1080</v>
      </c>
      <c r="HE25" s="269">
        <f t="shared" si="112"/>
        <v>165</v>
      </c>
      <c r="HF25" s="292">
        <f t="shared" si="112"/>
        <v>291</v>
      </c>
      <c r="HG25" s="292">
        <f t="shared" ref="HG25:HH25" si="113">HG3+HG14</f>
        <v>325</v>
      </c>
      <c r="HH25" s="292">
        <f t="shared" si="113"/>
        <v>328</v>
      </c>
      <c r="HI25" s="292">
        <f t="shared" ref="HI25" si="114">HI3+HI14</f>
        <v>310</v>
      </c>
      <c r="HJ25" s="267"/>
      <c r="HK25" s="271"/>
    </row>
    <row r="26" spans="1:219" s="121" customFormat="1" ht="19.5" thickBot="1" x14ac:dyDescent="0.35">
      <c r="A26" s="6"/>
      <c r="B26" s="323"/>
      <c r="C26" s="122" t="s">
        <v>5</v>
      </c>
      <c r="D26" s="159">
        <f t="shared" ref="D26:AI26" si="115">D4+D15</f>
        <v>0</v>
      </c>
      <c r="E26" s="61">
        <f t="shared" si="115"/>
        <v>0</v>
      </c>
      <c r="F26" s="61">
        <f t="shared" si="115"/>
        <v>0</v>
      </c>
      <c r="G26" s="61">
        <f t="shared" si="115"/>
        <v>0</v>
      </c>
      <c r="H26" s="61">
        <f t="shared" si="115"/>
        <v>0</v>
      </c>
      <c r="I26" s="61">
        <f t="shared" si="115"/>
        <v>0</v>
      </c>
      <c r="J26" s="61">
        <f t="shared" si="115"/>
        <v>0</v>
      </c>
      <c r="K26" s="51">
        <f t="shared" si="115"/>
        <v>0</v>
      </c>
      <c r="L26" s="51">
        <f t="shared" si="115"/>
        <v>0</v>
      </c>
      <c r="M26" s="51">
        <f t="shared" si="115"/>
        <v>193</v>
      </c>
      <c r="N26" s="51">
        <f t="shared" si="115"/>
        <v>182</v>
      </c>
      <c r="O26" s="51">
        <f t="shared" si="115"/>
        <v>194</v>
      </c>
      <c r="P26" s="51">
        <f t="shared" si="115"/>
        <v>0</v>
      </c>
      <c r="Q26" s="51">
        <f t="shared" si="115"/>
        <v>0</v>
      </c>
      <c r="R26" s="51">
        <f t="shared" si="115"/>
        <v>205</v>
      </c>
      <c r="S26" s="51">
        <f t="shared" si="115"/>
        <v>208</v>
      </c>
      <c r="T26" s="51">
        <f t="shared" si="115"/>
        <v>209</v>
      </c>
      <c r="U26" s="51">
        <f t="shared" si="115"/>
        <v>211</v>
      </c>
      <c r="V26" s="51">
        <f t="shared" si="115"/>
        <v>200</v>
      </c>
      <c r="W26" s="51">
        <f t="shared" si="115"/>
        <v>0</v>
      </c>
      <c r="X26" s="51">
        <f t="shared" si="115"/>
        <v>0</v>
      </c>
      <c r="Y26" s="51">
        <f t="shared" si="115"/>
        <v>197</v>
      </c>
      <c r="Z26" s="51">
        <f t="shared" si="115"/>
        <v>164</v>
      </c>
      <c r="AA26" s="51">
        <f t="shared" si="115"/>
        <v>196</v>
      </c>
      <c r="AB26" s="51">
        <f t="shared" si="115"/>
        <v>185</v>
      </c>
      <c r="AC26" s="51">
        <f t="shared" si="115"/>
        <v>203</v>
      </c>
      <c r="AD26" s="51">
        <f t="shared" si="115"/>
        <v>151</v>
      </c>
      <c r="AE26" s="51">
        <f t="shared" si="115"/>
        <v>0</v>
      </c>
      <c r="AF26" s="51">
        <f t="shared" si="115"/>
        <v>184</v>
      </c>
      <c r="AG26" s="51">
        <f t="shared" si="115"/>
        <v>183</v>
      </c>
      <c r="AH26" s="51">
        <f t="shared" si="115"/>
        <v>197</v>
      </c>
      <c r="AI26" s="51">
        <f t="shared" si="115"/>
        <v>192</v>
      </c>
      <c r="AJ26" s="51">
        <f t="shared" ref="AJ26:BO26" si="116">AJ4+AJ15</f>
        <v>178</v>
      </c>
      <c r="AK26" s="51">
        <f t="shared" si="116"/>
        <v>68</v>
      </c>
      <c r="AL26" s="51">
        <f t="shared" si="116"/>
        <v>0</v>
      </c>
      <c r="AM26" s="51">
        <f t="shared" si="116"/>
        <v>69</v>
      </c>
      <c r="AN26" s="51">
        <f t="shared" si="116"/>
        <v>189</v>
      </c>
      <c r="AO26" s="51">
        <f t="shared" si="116"/>
        <v>226</v>
      </c>
      <c r="AP26" s="51">
        <f t="shared" si="116"/>
        <v>212</v>
      </c>
      <c r="AQ26" s="51">
        <f t="shared" si="116"/>
        <v>170</v>
      </c>
      <c r="AR26" s="51">
        <f t="shared" si="116"/>
        <v>0</v>
      </c>
      <c r="AS26" s="51">
        <f t="shared" si="116"/>
        <v>0</v>
      </c>
      <c r="AT26" s="51">
        <f t="shared" si="116"/>
        <v>209</v>
      </c>
      <c r="AU26" s="51">
        <f t="shared" si="116"/>
        <v>178</v>
      </c>
      <c r="AV26" s="51">
        <f t="shared" si="116"/>
        <v>231</v>
      </c>
      <c r="AW26" s="51">
        <f t="shared" si="116"/>
        <v>223</v>
      </c>
      <c r="AX26" s="51">
        <f t="shared" si="116"/>
        <v>208</v>
      </c>
      <c r="AY26" s="51">
        <f t="shared" si="116"/>
        <v>0</v>
      </c>
      <c r="AZ26" s="51">
        <f t="shared" si="116"/>
        <v>0</v>
      </c>
      <c r="BA26" s="51">
        <f t="shared" si="116"/>
        <v>183</v>
      </c>
      <c r="BB26" s="51">
        <f t="shared" si="116"/>
        <v>203</v>
      </c>
      <c r="BC26" s="51">
        <f t="shared" si="116"/>
        <v>215</v>
      </c>
      <c r="BD26" s="51">
        <f t="shared" si="116"/>
        <v>219</v>
      </c>
      <c r="BE26" s="51">
        <f t="shared" si="116"/>
        <v>213</v>
      </c>
      <c r="BF26" s="51">
        <f t="shared" si="116"/>
        <v>117</v>
      </c>
      <c r="BG26" s="51">
        <f t="shared" si="116"/>
        <v>0</v>
      </c>
      <c r="BH26" s="51">
        <f t="shared" si="116"/>
        <v>207</v>
      </c>
      <c r="BI26" s="51">
        <f t="shared" si="116"/>
        <v>223</v>
      </c>
      <c r="BJ26" s="51">
        <f t="shared" si="116"/>
        <v>230</v>
      </c>
      <c r="BK26" s="51">
        <f t="shared" si="116"/>
        <v>242</v>
      </c>
      <c r="BL26" s="51">
        <f t="shared" si="116"/>
        <v>236</v>
      </c>
      <c r="BM26" s="51">
        <f t="shared" si="116"/>
        <v>25</v>
      </c>
      <c r="BN26" s="51">
        <f t="shared" si="116"/>
        <v>0</v>
      </c>
      <c r="BO26" s="51">
        <f t="shared" si="116"/>
        <v>233</v>
      </c>
      <c r="BP26" s="51">
        <f t="shared" ref="BP26:CU26" si="117">BP4+BP15</f>
        <v>229</v>
      </c>
      <c r="BQ26" s="51">
        <f t="shared" si="117"/>
        <v>250</v>
      </c>
      <c r="BR26" s="51">
        <f t="shared" si="117"/>
        <v>216</v>
      </c>
      <c r="BS26" s="51">
        <f t="shared" si="117"/>
        <v>242</v>
      </c>
      <c r="BT26" s="51">
        <f t="shared" si="117"/>
        <v>53</v>
      </c>
      <c r="BU26" s="51">
        <f t="shared" si="117"/>
        <v>1223</v>
      </c>
      <c r="BV26" s="51">
        <f t="shared" si="117"/>
        <v>248</v>
      </c>
      <c r="BW26" s="51">
        <f t="shared" si="117"/>
        <v>238</v>
      </c>
      <c r="BX26" s="51">
        <f t="shared" si="117"/>
        <v>220</v>
      </c>
      <c r="BY26" s="51">
        <f t="shared" si="117"/>
        <v>271</v>
      </c>
      <c r="BZ26" s="51">
        <f t="shared" si="117"/>
        <v>272</v>
      </c>
      <c r="CA26" s="51">
        <f t="shared" si="117"/>
        <v>130</v>
      </c>
      <c r="CB26" s="51">
        <f t="shared" si="117"/>
        <v>1379</v>
      </c>
      <c r="CC26" s="51">
        <f t="shared" si="117"/>
        <v>306</v>
      </c>
      <c r="CD26" s="51">
        <f t="shared" si="117"/>
        <v>361</v>
      </c>
      <c r="CE26" s="51">
        <f t="shared" si="117"/>
        <v>298</v>
      </c>
      <c r="CF26" s="51">
        <f t="shared" si="117"/>
        <v>335</v>
      </c>
      <c r="CG26" s="51">
        <f t="shared" si="117"/>
        <v>309</v>
      </c>
      <c r="CH26" s="51">
        <f t="shared" si="117"/>
        <v>257</v>
      </c>
      <c r="CI26" s="51">
        <f t="shared" si="117"/>
        <v>1866</v>
      </c>
      <c r="CJ26" s="51">
        <f t="shared" si="117"/>
        <v>361</v>
      </c>
      <c r="CK26" s="51">
        <f t="shared" si="117"/>
        <v>406</v>
      </c>
      <c r="CL26" s="51">
        <f t="shared" si="117"/>
        <v>419</v>
      </c>
      <c r="CM26" s="51">
        <f t="shared" si="117"/>
        <v>422</v>
      </c>
      <c r="CN26" s="51">
        <f t="shared" si="117"/>
        <v>343</v>
      </c>
      <c r="CO26" s="51">
        <f t="shared" si="117"/>
        <v>79</v>
      </c>
      <c r="CP26" s="51">
        <f t="shared" si="117"/>
        <v>2030</v>
      </c>
      <c r="CQ26" s="51">
        <f t="shared" si="117"/>
        <v>369</v>
      </c>
      <c r="CR26" s="51">
        <f t="shared" si="117"/>
        <v>409</v>
      </c>
      <c r="CS26" s="51">
        <f t="shared" si="117"/>
        <v>425</v>
      </c>
      <c r="CT26" s="51">
        <f t="shared" si="117"/>
        <v>431</v>
      </c>
      <c r="CU26" s="51">
        <f t="shared" si="117"/>
        <v>393</v>
      </c>
      <c r="CV26" s="50"/>
      <c r="CW26" s="51">
        <f>CW4+CW15</f>
        <v>2027</v>
      </c>
      <c r="CX26" s="51"/>
      <c r="CY26" s="51">
        <f t="shared" ref="CY26:DI26" si="118">CY4+CY15</f>
        <v>397</v>
      </c>
      <c r="CZ26" s="51">
        <f t="shared" si="118"/>
        <v>405</v>
      </c>
      <c r="DA26" s="51">
        <f t="shared" si="118"/>
        <v>365</v>
      </c>
      <c r="DB26" s="51">
        <f t="shared" si="118"/>
        <v>398</v>
      </c>
      <c r="DC26" s="51">
        <f t="shared" si="118"/>
        <v>84</v>
      </c>
      <c r="DD26" s="51">
        <f t="shared" si="118"/>
        <v>1649</v>
      </c>
      <c r="DE26" s="51">
        <f t="shared" si="118"/>
        <v>366</v>
      </c>
      <c r="DF26" s="51">
        <f t="shared" si="118"/>
        <v>384</v>
      </c>
      <c r="DG26" s="51">
        <f t="shared" si="118"/>
        <v>338</v>
      </c>
      <c r="DH26" s="51">
        <f t="shared" si="118"/>
        <v>421</v>
      </c>
      <c r="DI26" s="51">
        <f t="shared" si="118"/>
        <v>410</v>
      </c>
      <c r="DJ26" s="51"/>
      <c r="DK26" s="51">
        <f t="shared" si="98"/>
        <v>1171</v>
      </c>
      <c r="DL26" s="51">
        <f t="shared" si="98"/>
        <v>389</v>
      </c>
      <c r="DM26" s="51">
        <f t="shared" si="98"/>
        <v>417</v>
      </c>
      <c r="DN26" s="51">
        <f t="shared" si="98"/>
        <v>417</v>
      </c>
      <c r="DO26" s="51">
        <f t="shared" si="98"/>
        <v>367</v>
      </c>
      <c r="DP26" s="51">
        <f t="shared" si="98"/>
        <v>387</v>
      </c>
      <c r="DQ26" s="50"/>
      <c r="DR26" s="51">
        <f t="shared" si="99"/>
        <v>1977</v>
      </c>
      <c r="DS26" s="51">
        <f t="shared" si="99"/>
        <v>430</v>
      </c>
      <c r="DT26" s="51">
        <f t="shared" si="99"/>
        <v>430</v>
      </c>
      <c r="DU26" s="51">
        <f t="shared" si="99"/>
        <v>423</v>
      </c>
      <c r="DV26" s="51">
        <f t="shared" si="99"/>
        <v>414</v>
      </c>
      <c r="DW26" s="50"/>
      <c r="DX26" s="50"/>
      <c r="DY26" s="51">
        <f t="shared" si="100"/>
        <v>1697</v>
      </c>
      <c r="DZ26" s="51">
        <f t="shared" si="100"/>
        <v>408</v>
      </c>
      <c r="EA26" s="51">
        <f t="shared" si="100"/>
        <v>421</v>
      </c>
      <c r="EB26" s="51">
        <f t="shared" si="100"/>
        <v>407</v>
      </c>
      <c r="EC26" s="51">
        <f t="shared" si="100"/>
        <v>413</v>
      </c>
      <c r="ED26" s="51">
        <f t="shared" si="100"/>
        <v>380</v>
      </c>
      <c r="EE26" s="50"/>
      <c r="EF26" s="50"/>
      <c r="EG26" s="51">
        <f t="shared" si="101"/>
        <v>2029</v>
      </c>
      <c r="EH26" s="51">
        <f t="shared" si="101"/>
        <v>407</v>
      </c>
      <c r="EI26" s="51">
        <f t="shared" si="101"/>
        <v>422</v>
      </c>
      <c r="EJ26" s="51">
        <f t="shared" si="101"/>
        <v>402</v>
      </c>
      <c r="EK26" s="51">
        <f t="shared" si="101"/>
        <v>395</v>
      </c>
      <c r="EL26" s="51">
        <f t="shared" si="101"/>
        <v>417</v>
      </c>
      <c r="EM26" s="50"/>
      <c r="EN26" s="50"/>
      <c r="EO26" s="51">
        <f t="shared" si="102"/>
        <v>2043</v>
      </c>
      <c r="EP26" s="51">
        <f t="shared" si="102"/>
        <v>397</v>
      </c>
      <c r="EQ26" s="51">
        <f t="shared" si="102"/>
        <v>415</v>
      </c>
      <c r="ER26" s="51">
        <f t="shared" si="102"/>
        <v>418</v>
      </c>
      <c r="ES26" s="51">
        <f t="shared" si="102"/>
        <v>411</v>
      </c>
      <c r="ET26" s="51">
        <f t="shared" si="102"/>
        <v>420</v>
      </c>
      <c r="EU26" s="50"/>
      <c r="EV26" s="50"/>
      <c r="EW26" s="51">
        <f t="shared" si="103"/>
        <v>2061</v>
      </c>
      <c r="EX26" s="51">
        <f t="shared" si="103"/>
        <v>350</v>
      </c>
      <c r="EY26" s="51">
        <f t="shared" si="103"/>
        <v>263</v>
      </c>
      <c r="EZ26" s="51">
        <f t="shared" si="103"/>
        <v>316</v>
      </c>
      <c r="FA26" s="51">
        <f t="shared" si="103"/>
        <v>156</v>
      </c>
      <c r="FB26" s="51">
        <f t="shared" si="103"/>
        <v>372</v>
      </c>
      <c r="FC26" s="50"/>
      <c r="FD26" s="50"/>
      <c r="FE26" s="51">
        <f>FE4+FE15</f>
        <v>1457</v>
      </c>
      <c r="FF26" s="50"/>
      <c r="FG26" s="50"/>
      <c r="FH26" s="51">
        <f t="shared" si="104"/>
        <v>344</v>
      </c>
      <c r="FI26" s="51">
        <f t="shared" si="104"/>
        <v>353</v>
      </c>
      <c r="FJ26" s="51">
        <f t="shared" si="104"/>
        <v>355</v>
      </c>
      <c r="FK26" s="50"/>
      <c r="FL26" s="51">
        <f>FL4+FL15</f>
        <v>1052</v>
      </c>
      <c r="FM26" s="51"/>
      <c r="FN26" s="51">
        <f t="shared" si="105"/>
        <v>309</v>
      </c>
      <c r="FO26" s="51">
        <f t="shared" si="105"/>
        <v>382</v>
      </c>
      <c r="FP26" s="51">
        <f t="shared" si="105"/>
        <v>353</v>
      </c>
      <c r="FQ26" s="51">
        <f t="shared" si="105"/>
        <v>321</v>
      </c>
      <c r="FR26" s="50"/>
      <c r="FS26" s="50"/>
      <c r="FT26" s="51">
        <f t="shared" si="106"/>
        <v>1365</v>
      </c>
      <c r="FU26" s="51">
        <f t="shared" si="106"/>
        <v>384</v>
      </c>
      <c r="FV26" s="51">
        <f t="shared" si="106"/>
        <v>387</v>
      </c>
      <c r="FW26" s="51">
        <f t="shared" si="106"/>
        <v>379</v>
      </c>
      <c r="FX26" s="51">
        <f t="shared" si="106"/>
        <v>363</v>
      </c>
      <c r="FY26" s="51">
        <f t="shared" si="106"/>
        <v>342</v>
      </c>
      <c r="FZ26" s="50"/>
      <c r="GA26" s="51">
        <f>GA4+GA15</f>
        <v>1855</v>
      </c>
      <c r="GB26" s="50"/>
      <c r="GC26" s="50"/>
      <c r="GD26" s="50"/>
      <c r="GE26" s="50"/>
      <c r="GF26" s="50"/>
      <c r="GG26" s="50"/>
      <c r="GH26" s="50"/>
      <c r="GI26" s="51">
        <f t="shared" si="107"/>
        <v>74</v>
      </c>
      <c r="GJ26" s="51">
        <f t="shared" si="107"/>
        <v>323</v>
      </c>
      <c r="GK26" s="51">
        <f t="shared" si="107"/>
        <v>353</v>
      </c>
      <c r="GL26" s="51">
        <f t="shared" si="107"/>
        <v>329</v>
      </c>
      <c r="GM26" s="51">
        <f t="shared" si="107"/>
        <v>336</v>
      </c>
      <c r="GN26" s="50"/>
      <c r="GO26" s="51">
        <f>GO4+GO15</f>
        <v>1415</v>
      </c>
      <c r="GP26" s="51"/>
      <c r="GQ26" s="51">
        <f t="shared" si="108"/>
        <v>141</v>
      </c>
      <c r="GR26" s="51">
        <f t="shared" si="108"/>
        <v>321</v>
      </c>
      <c r="GS26" s="177">
        <f t="shared" si="108"/>
        <v>320</v>
      </c>
      <c r="GT26" s="177">
        <f t="shared" ref="GT26" si="119">GT4+GT15</f>
        <v>320</v>
      </c>
      <c r="GU26" s="178"/>
      <c r="GV26" s="178"/>
      <c r="GW26" s="200">
        <f>GW4+GW15</f>
        <v>1102</v>
      </c>
      <c r="GX26" s="224">
        <f t="shared" si="110"/>
        <v>149</v>
      </c>
      <c r="GY26" s="177">
        <f t="shared" si="110"/>
        <v>308</v>
      </c>
      <c r="GZ26" s="177">
        <f t="shared" ref="GZ26:HA26" si="120">GZ4+GZ15</f>
        <v>308</v>
      </c>
      <c r="HA26" s="177">
        <f t="shared" si="120"/>
        <v>314</v>
      </c>
      <c r="HB26" s="178"/>
      <c r="HC26" s="178"/>
      <c r="HD26" s="225">
        <f t="shared" si="112"/>
        <v>1079</v>
      </c>
      <c r="HE26" s="224">
        <f t="shared" si="112"/>
        <v>161</v>
      </c>
      <c r="HF26" s="293">
        <f t="shared" si="112"/>
        <v>298</v>
      </c>
      <c r="HG26" s="293">
        <f t="shared" ref="HG26:HH26" si="121">HG4+HG15</f>
        <v>324</v>
      </c>
      <c r="HH26" s="293">
        <f t="shared" si="121"/>
        <v>317</v>
      </c>
      <c r="HI26" s="293">
        <f t="shared" ref="HI26" si="122">HI4+HI15</f>
        <v>306</v>
      </c>
      <c r="HJ26" s="178"/>
      <c r="HK26" s="179"/>
    </row>
    <row r="27" spans="1:219" s="121" customFormat="1" ht="19.5" thickBot="1" x14ac:dyDescent="0.35">
      <c r="A27" s="6"/>
      <c r="B27" s="323"/>
      <c r="C27" s="122" t="s">
        <v>89</v>
      </c>
      <c r="D27" s="159"/>
      <c r="E27" s="61"/>
      <c r="F27" s="61"/>
      <c r="G27" s="61"/>
      <c r="H27" s="61"/>
      <c r="I27" s="61"/>
      <c r="J27" s="6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64">
        <f t="shared" ref="BO27:BT27" si="123">AVERAGE(BO5,BO16)</f>
        <v>0.33686224489795918</v>
      </c>
      <c r="BP27" s="64">
        <f t="shared" si="123"/>
        <v>0.37691326530612246</v>
      </c>
      <c r="BQ27" s="64">
        <f t="shared" si="123"/>
        <v>0.39834656084656084</v>
      </c>
      <c r="BR27" s="64">
        <f t="shared" si="123"/>
        <v>0.37288211788211789</v>
      </c>
      <c r="BS27" s="64">
        <f t="shared" si="123"/>
        <v>0.3947537878787879</v>
      </c>
      <c r="BT27" s="64">
        <f t="shared" si="123"/>
        <v>0.50240384615384615</v>
      </c>
      <c r="BU27" s="152">
        <f>AVERAGE(BO27:BT27)</f>
        <v>0.39702697049423241</v>
      </c>
      <c r="BV27" s="64">
        <f t="shared" ref="BV27:CA27" si="124">AVERAGE(BV5,BV16)</f>
        <v>0.37211760461760457</v>
      </c>
      <c r="BW27" s="64">
        <f t="shared" si="124"/>
        <v>0.35295937584073178</v>
      </c>
      <c r="BX27" s="64">
        <f t="shared" si="124"/>
        <v>0.34211309523809519</v>
      </c>
      <c r="BY27" s="64">
        <f t="shared" si="124"/>
        <v>0.39004393424036282</v>
      </c>
      <c r="BZ27" s="64">
        <f t="shared" si="124"/>
        <v>0.39839143990929704</v>
      </c>
      <c r="CA27" s="64">
        <f t="shared" si="124"/>
        <v>0.29323979591836735</v>
      </c>
      <c r="CB27" s="153">
        <f>AVERAGE(BV27:BZ27)</f>
        <v>0.37112508996921828</v>
      </c>
      <c r="CC27" s="64">
        <f t="shared" ref="CC27:CH27" si="125">AVERAGE(CC5,CC16)</f>
        <v>0.49592261904761903</v>
      </c>
      <c r="CD27" s="64">
        <f t="shared" si="125"/>
        <v>0.50054924242424237</v>
      </c>
      <c r="CE27" s="64">
        <f t="shared" si="125"/>
        <v>0.41694444444444445</v>
      </c>
      <c r="CF27" s="64">
        <f t="shared" si="125"/>
        <v>0.51201298701298703</v>
      </c>
      <c r="CG27" s="64">
        <f t="shared" si="125"/>
        <v>0.45878968253968255</v>
      </c>
      <c r="CH27" s="64">
        <f t="shared" si="125"/>
        <v>0.41860231782106783</v>
      </c>
      <c r="CI27" s="153">
        <f>AVERAGE(CC27:CH27)</f>
        <v>0.46713688221500727</v>
      </c>
      <c r="CJ27" s="64">
        <f t="shared" ref="CJ27:CO27" si="126">AVERAGE(CJ5,CJ16)</f>
        <v>0.45806977441765251</v>
      </c>
      <c r="CK27" s="64">
        <f t="shared" si="126"/>
        <v>0.53397530972029283</v>
      </c>
      <c r="CL27" s="64">
        <f t="shared" si="126"/>
        <v>0.56608285949290149</v>
      </c>
      <c r="CM27" s="64">
        <f t="shared" si="126"/>
        <v>0.54400010728462611</v>
      </c>
      <c r="CN27" s="64">
        <f t="shared" si="126"/>
        <v>0.47723184864547685</v>
      </c>
      <c r="CO27" s="64">
        <f t="shared" si="126"/>
        <v>0.2153068340306834</v>
      </c>
      <c r="CP27" s="153">
        <f>AVERAGE(CJ27:CN27)</f>
        <v>0.51587197991219003</v>
      </c>
      <c r="CQ27" s="64">
        <f>AVERAGE(CQ5,CQ16)</f>
        <v>0.56950761256883708</v>
      </c>
      <c r="CR27" s="64">
        <f>AVERAGE(CR5,CR16)</f>
        <v>0.58418101992570082</v>
      </c>
      <c r="CS27" s="64">
        <f>AVERAGE(CS5,CS16)</f>
        <v>0.6272053360351233</v>
      </c>
      <c r="CT27" s="64">
        <f>AVERAGE(CT5,CT16)</f>
        <v>0.62762242485646735</v>
      </c>
      <c r="CU27" s="64">
        <f>AVERAGE(CU5,CU16)</f>
        <v>0.58450185748058092</v>
      </c>
      <c r="CV27" s="50"/>
      <c r="CW27" s="153">
        <f>AVERAGE(CQ27:CV27)</f>
        <v>0.59860365017334194</v>
      </c>
      <c r="CX27" s="64"/>
      <c r="CY27" s="64">
        <f>AVERAGE(CY5,CY16)</f>
        <v>0.63656462585034013</v>
      </c>
      <c r="CZ27" s="64">
        <f>AVERAGE(CZ5,CZ16)</f>
        <v>0.65377477077787638</v>
      </c>
      <c r="DA27" s="64">
        <f>AVERAGE(DA5,DA16)</f>
        <v>0.57991592183002572</v>
      </c>
      <c r="DB27" s="64">
        <f>AVERAGE(DB5,DB16)</f>
        <v>0.59294217687074835</v>
      </c>
      <c r="DC27" s="50"/>
      <c r="DD27" s="152">
        <f>AVERAGE(CY27:DB27)</f>
        <v>0.61579937383224759</v>
      </c>
      <c r="DE27" s="64">
        <f>AVERAGE(DE5,DE16)</f>
        <v>0.56941977225672868</v>
      </c>
      <c r="DF27" s="64">
        <f>AVERAGE(DF5,DF16)</f>
        <v>0.55581308713961775</v>
      </c>
      <c r="DG27" s="64">
        <f>AVERAGE(DG5,DG16)</f>
        <v>0.50817387399834202</v>
      </c>
      <c r="DH27" s="64">
        <f>AVERAGE(DH5,DH16)</f>
        <v>0.59114188532555878</v>
      </c>
      <c r="DI27" s="64">
        <f>AVERAGE(DI5,DI16)</f>
        <v>0.60740017960762638</v>
      </c>
      <c r="DJ27" s="152"/>
      <c r="DK27" s="152">
        <f>AVERAGE(DF27:DI27)</f>
        <v>0.56563225651778626</v>
      </c>
      <c r="DL27" s="64">
        <f>AVERAGE(DL5,DL16)</f>
        <v>0.57153871072238416</v>
      </c>
      <c r="DM27" s="64">
        <f>AVERAGE(DM5,DM16)</f>
        <v>0.59337987012987015</v>
      </c>
      <c r="DN27" s="64">
        <f>AVERAGE(DN5,DN16)</f>
        <v>0.58045288753799396</v>
      </c>
      <c r="DO27" s="64">
        <f>AVERAGE(DO5,DO16)</f>
        <v>0.50546647230320696</v>
      </c>
      <c r="DP27" s="64">
        <f>AVERAGE(DP5,DP16)</f>
        <v>0.51728431372549011</v>
      </c>
      <c r="DQ27" s="50"/>
      <c r="DR27" s="152">
        <f>AVERAGE(DM27:DP27)</f>
        <v>0.54914588592414026</v>
      </c>
      <c r="DS27" s="64">
        <f>AVERAGE(DS5,DS16)</f>
        <v>0.58380495055164916</v>
      </c>
      <c r="DT27" s="64">
        <f>AVERAGE(DT5,DT16)</f>
        <v>0.59572916666666664</v>
      </c>
      <c r="DU27" s="64">
        <f>AVERAGE(DU5,DU16)</f>
        <v>0.57324052478134102</v>
      </c>
      <c r="DV27" s="64">
        <f>AVERAGE(DV5,DV16)</f>
        <v>0.62176155969634228</v>
      </c>
      <c r="DW27" s="50"/>
      <c r="DX27" s="50"/>
      <c r="DY27" s="152">
        <f>AVERAGE(DT27:DW27)</f>
        <v>0.59691041704811665</v>
      </c>
      <c r="DZ27" s="64">
        <f>AVERAGE(DZ5,DZ16)</f>
        <v>0.57820929070929072</v>
      </c>
      <c r="EA27" s="64">
        <f>AVERAGE(EA5,EA16)</f>
        <v>0.55616246498599442</v>
      </c>
      <c r="EB27" s="64">
        <f>AVERAGE(EB5,EB16)</f>
        <v>0.54152661064425767</v>
      </c>
      <c r="EC27" s="64">
        <f>AVERAGE(EC5,EC16)</f>
        <v>0.52910830999066294</v>
      </c>
      <c r="ED27" s="64">
        <f>AVERAGE(ED5,ED16)</f>
        <v>0.52332492997198876</v>
      </c>
      <c r="EE27" s="50"/>
      <c r="EF27" s="50"/>
      <c r="EG27" s="152">
        <f>AVERAGE(DZ27:ED27)</f>
        <v>0.5456663212604389</v>
      </c>
      <c r="EH27" s="64">
        <f>AVERAGE(EH5,EH16)</f>
        <v>0.54048320979335129</v>
      </c>
      <c r="EI27" s="64">
        <f>AVERAGE(EI5,EI16)</f>
        <v>0.56359126984126984</v>
      </c>
      <c r="EJ27" s="64">
        <f>AVERAGE(EJ5,EJ16)</f>
        <v>0.54764194139194133</v>
      </c>
      <c r="EK27" s="64">
        <f>AVERAGE(EK5,EK16)</f>
        <v>0.53741987179487172</v>
      </c>
      <c r="EL27" s="64">
        <f>AVERAGE(EL5,EL16)</f>
        <v>0.56884729853479854</v>
      </c>
      <c r="EM27" s="50"/>
      <c r="EN27" s="50"/>
      <c r="EO27" s="152">
        <f>AVERAGE(EH27:EM27)</f>
        <v>0.55159671827124657</v>
      </c>
      <c r="EP27" s="64">
        <f>AVERAGE(EP5,EP16)</f>
        <v>0.51407547169811318</v>
      </c>
      <c r="EQ27" s="64">
        <f>AVERAGE(EQ5,EQ16)</f>
        <v>0.53116096866096862</v>
      </c>
      <c r="ER27" s="64">
        <f>AVERAGE(ER5,ER16)</f>
        <v>0.56292156862745091</v>
      </c>
      <c r="ES27" s="64">
        <f>AVERAGE(ES5,ES16)</f>
        <v>0.55481913919413917</v>
      </c>
      <c r="ET27" s="64">
        <f>AVERAGE(ET5,ET16)</f>
        <v>0.54278327804271198</v>
      </c>
      <c r="EU27" s="50"/>
      <c r="EV27" s="50"/>
      <c r="EW27" s="152">
        <f>AVERAGE(EP27:EU27)</f>
        <v>0.54115208524467673</v>
      </c>
      <c r="EX27" s="64">
        <f>AVERAGE(EX5,EX16)</f>
        <v>0.45795412504624489</v>
      </c>
      <c r="EY27" s="64">
        <f>AVERAGE(EY5,EY16)</f>
        <v>0.37131933890577506</v>
      </c>
      <c r="EZ27" s="64">
        <f>AVERAGE(EZ5,EZ16)</f>
        <v>0.44519940476190478</v>
      </c>
      <c r="FA27" s="64">
        <f>FA16</f>
        <v>0.41778711484593839</v>
      </c>
      <c r="FB27" s="64">
        <f>FB16</f>
        <v>0.50757142857142856</v>
      </c>
      <c r="FC27" s="50"/>
      <c r="FD27" s="50"/>
      <c r="FE27" s="152">
        <f>AVERAGE(EX27:FB27)</f>
        <v>0.43996628242625829</v>
      </c>
      <c r="FF27" s="50"/>
      <c r="FG27" s="50"/>
      <c r="FH27" s="64">
        <f>FH16</f>
        <v>0.51092436974789912</v>
      </c>
      <c r="FI27" s="64">
        <f>FI16</f>
        <v>0.49942857142857144</v>
      </c>
      <c r="FJ27" s="64">
        <f>FJ16</f>
        <v>0.55116618075801749</v>
      </c>
      <c r="FK27" s="50"/>
      <c r="FL27" s="152">
        <f>AVERAGE(FF27:FJ27)</f>
        <v>0.52050637397816268</v>
      </c>
      <c r="FM27" s="64"/>
      <c r="FN27" s="64">
        <f>FN16</f>
        <v>0.46614906832298136</v>
      </c>
      <c r="FO27" s="64">
        <f>FO16</f>
        <v>0.53400621118012415</v>
      </c>
      <c r="FP27" s="64">
        <f>FP16</f>
        <v>0.46489361702127657</v>
      </c>
      <c r="FQ27" s="64">
        <f>FQ16</f>
        <v>0.43541666666666667</v>
      </c>
      <c r="FR27" s="50"/>
      <c r="FS27" s="50"/>
      <c r="FT27" s="152">
        <f>AVERAGE(FM27:FQ27)</f>
        <v>0.47511639079776213</v>
      </c>
      <c r="FU27" s="64">
        <f>FU16</f>
        <v>0.52689075630252102</v>
      </c>
      <c r="FV27" s="64">
        <f>FV16</f>
        <v>0.56547619047619047</v>
      </c>
      <c r="FW27" s="64">
        <f>FW16</f>
        <v>0.55393586005830908</v>
      </c>
      <c r="FX27" s="64">
        <f>FX16</f>
        <v>0.58416149068322976</v>
      </c>
      <c r="FY27" s="64">
        <f>FY16</f>
        <v>0.62176079734219269</v>
      </c>
      <c r="FZ27" s="50"/>
      <c r="GA27" s="152">
        <f>AVERAGE(FU27:FY27)</f>
        <v>0.57044501897248867</v>
      </c>
      <c r="GB27" s="50"/>
      <c r="GC27" s="50"/>
      <c r="GD27" s="50"/>
      <c r="GE27" s="50"/>
      <c r="GF27" s="50"/>
      <c r="GG27" s="50"/>
      <c r="GH27" s="50"/>
      <c r="GI27" s="64">
        <f>AVERAGE(GI16,GI5)</f>
        <v>0.24494773519163762</v>
      </c>
      <c r="GJ27" s="64">
        <f>AVERAGE(GJ16,GJ5)</f>
        <v>0.5942084942084942</v>
      </c>
      <c r="GK27" s="64">
        <f>AVERAGE(GK16,GK5)</f>
        <v>0.59418498168498168</v>
      </c>
      <c r="GL27" s="64">
        <f>AVERAGE(GL16,GL5)</f>
        <v>0.5714285714285714</v>
      </c>
      <c r="GM27" s="64">
        <f>AVERAGE(GM16,GM5)</f>
        <v>0.59186507936507937</v>
      </c>
      <c r="GN27" s="50"/>
      <c r="GO27" s="152">
        <f>AVERAGE(GI27:GM27)</f>
        <v>0.51932697237575276</v>
      </c>
      <c r="GP27" s="64"/>
      <c r="GQ27" s="64">
        <f>AVERAGE(GQ16,GQ5)</f>
        <v>0.52857142857142858</v>
      </c>
      <c r="GR27" s="64">
        <f>AVERAGE(GR16,GR5)</f>
        <v>0.55811184939091918</v>
      </c>
      <c r="GS27" s="180">
        <f>AVERAGE(GS16,GS5)</f>
        <v>0.5336058250692397</v>
      </c>
      <c r="GT27" s="180">
        <f>AVERAGE(GT16,GT5)</f>
        <v>0.55419642857142859</v>
      </c>
      <c r="GU27" s="178"/>
      <c r="GV27" s="178"/>
      <c r="GW27" s="201">
        <f>AVERAGE(GQ27:GU27)</f>
        <v>0.54362138290075401</v>
      </c>
      <c r="GX27" s="226">
        <f>AVERAGE(GX16,GX5)</f>
        <v>0.50805860805860803</v>
      </c>
      <c r="GY27" s="180">
        <f>AVERAGE(GY16,GY5)</f>
        <v>0.53786630036630034</v>
      </c>
      <c r="GZ27" s="180">
        <f>AVERAGE(GZ16,GZ5)</f>
        <v>0.57482208267922563</v>
      </c>
      <c r="HA27" s="180">
        <f>AVERAGE(HA16,HA5)</f>
        <v>0.57446581196581192</v>
      </c>
      <c r="HB27" s="178"/>
      <c r="HC27" s="178"/>
      <c r="HD27" s="227">
        <f>AVERAGE(GX27:HB27)</f>
        <v>0.54880320076748657</v>
      </c>
      <c r="HE27" s="290">
        <f>AVERAGE(GY27:HC27)</f>
        <v>0.56238473167044589</v>
      </c>
      <c r="HF27" s="294">
        <f>AVERAGE(GZ27:HD27)</f>
        <v>0.56603036513750804</v>
      </c>
      <c r="HG27" s="294">
        <f>AVERAGE(HA27:HE27)</f>
        <v>0.56188458146791476</v>
      </c>
      <c r="HH27" s="294">
        <f>AVERAGE(HB27:HF27)</f>
        <v>0.55907276585848009</v>
      </c>
      <c r="HI27" s="294">
        <f>AVERAGE(HC27:HG27)</f>
        <v>0.55977571976083884</v>
      </c>
      <c r="HJ27" s="178"/>
      <c r="HK27" s="179"/>
    </row>
    <row r="28" spans="1:219" s="121" customFormat="1" ht="19.5" thickBot="1" x14ac:dyDescent="0.35">
      <c r="A28" s="6"/>
      <c r="B28" s="323"/>
      <c r="C28" s="122" t="s">
        <v>113</v>
      </c>
      <c r="D28" s="159"/>
      <c r="E28" s="61"/>
      <c r="F28" s="61"/>
      <c r="G28" s="61"/>
      <c r="H28" s="61"/>
      <c r="I28" s="61"/>
      <c r="J28" s="6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64"/>
      <c r="BP28" s="64"/>
      <c r="BQ28" s="64"/>
      <c r="BR28" s="64"/>
      <c r="BS28" s="64"/>
      <c r="BT28" s="64"/>
      <c r="BU28" s="152"/>
      <c r="BV28" s="64"/>
      <c r="BW28" s="64"/>
      <c r="BX28" s="64"/>
      <c r="BY28" s="64"/>
      <c r="BZ28" s="64"/>
      <c r="CA28" s="64"/>
      <c r="CB28" s="153"/>
      <c r="CC28" s="64"/>
      <c r="CD28" s="64"/>
      <c r="CE28" s="64"/>
      <c r="CF28" s="64"/>
      <c r="CG28" s="64"/>
      <c r="CH28" s="64"/>
      <c r="CI28" s="153"/>
      <c r="CJ28" s="64"/>
      <c r="CK28" s="64"/>
      <c r="CL28" s="64"/>
      <c r="CM28" s="64"/>
      <c r="CN28" s="64"/>
      <c r="CO28" s="64"/>
      <c r="CP28" s="153"/>
      <c r="CQ28" s="76">
        <f>+CQ6+CQ17</f>
        <v>94</v>
      </c>
      <c r="CR28" s="76">
        <f>+CR6+CR17</f>
        <v>92</v>
      </c>
      <c r="CS28" s="76">
        <f>+CS6+CS17</f>
        <v>92</v>
      </c>
      <c r="CT28" s="76">
        <f>+CT6+CT17</f>
        <v>91</v>
      </c>
      <c r="CU28" s="76">
        <f>+CU6+CU17</f>
        <v>87</v>
      </c>
      <c r="CV28" s="50"/>
      <c r="CW28" s="153"/>
      <c r="CX28" s="76"/>
      <c r="CY28" s="76">
        <f>+CY6+CY17</f>
        <v>84</v>
      </c>
      <c r="CZ28" s="76">
        <f>+CZ6+CZ17</f>
        <v>88</v>
      </c>
      <c r="DA28" s="76">
        <f>+DA6+DA17</f>
        <v>87</v>
      </c>
      <c r="DB28" s="76">
        <f>+DB6+DB17</f>
        <v>90</v>
      </c>
      <c r="DC28" s="50"/>
      <c r="DD28" s="160">
        <f>+(CY28+CZ28+DA28+DB28)/4</f>
        <v>87.25</v>
      </c>
      <c r="DE28" s="83">
        <f>+DE6+DE17</f>
        <v>96</v>
      </c>
      <c r="DF28" s="83">
        <f>+DF6+DF17</f>
        <v>94</v>
      </c>
      <c r="DG28" s="83">
        <f>+DG6+DG17</f>
        <v>91</v>
      </c>
      <c r="DH28" s="83">
        <f>+DH6+DH17</f>
        <v>94</v>
      </c>
      <c r="DI28" s="83">
        <f>+DI6+DI17</f>
        <v>91</v>
      </c>
      <c r="DJ28" s="160"/>
      <c r="DK28" s="160">
        <f>+(DF28+DG28+DH28+DI28)/5</f>
        <v>74</v>
      </c>
      <c r="DL28" s="83">
        <f>+DL6+DL17</f>
        <v>94</v>
      </c>
      <c r="DM28" s="83">
        <f>+DM6+DM17</f>
        <v>94</v>
      </c>
      <c r="DN28" s="83">
        <f>+DN6+DN17</f>
        <v>97</v>
      </c>
      <c r="DO28" s="83">
        <f>+DO6+DO17</f>
        <v>98</v>
      </c>
      <c r="DP28" s="83">
        <f>+DP6+DP17</f>
        <v>101</v>
      </c>
      <c r="DQ28" s="50"/>
      <c r="DR28" s="160">
        <f>+(DM28+DN28+DO28+DP28+DL28)/5</f>
        <v>96.8</v>
      </c>
      <c r="DS28" s="83">
        <f>+DS6+DS17</f>
        <v>100</v>
      </c>
      <c r="DT28" s="83">
        <f>+DT6+DT17</f>
        <v>98</v>
      </c>
      <c r="DU28" s="83">
        <f>+DU6+DU17</f>
        <v>99</v>
      </c>
      <c r="DV28" s="83">
        <f>+DV6+DV17</f>
        <v>91</v>
      </c>
      <c r="DW28" s="50"/>
      <c r="DX28" s="50"/>
      <c r="DY28" s="160">
        <f>+(DT28+DU28+DV28+DW28)/4</f>
        <v>72</v>
      </c>
      <c r="DZ28" s="83">
        <f>+DZ6+DZ17</f>
        <v>96</v>
      </c>
      <c r="EA28" s="83">
        <f>+EA6+EA17</f>
        <v>102</v>
      </c>
      <c r="EB28" s="83">
        <f>+EB6+EB17</f>
        <v>103</v>
      </c>
      <c r="EC28" s="83">
        <f>+EC6+EC17</f>
        <v>105</v>
      </c>
      <c r="ED28" s="83">
        <f>+ED6+ED17</f>
        <v>101</v>
      </c>
      <c r="EE28" s="50"/>
      <c r="EF28" s="50"/>
      <c r="EG28" s="160">
        <f>+(EA28+EB28+EC28+ED28+DZ28)/5</f>
        <v>101.4</v>
      </c>
      <c r="EH28" s="83">
        <f>+EH6+EH17</f>
        <v>101</v>
      </c>
      <c r="EI28" s="83">
        <f>+EI6+EI17</f>
        <v>102</v>
      </c>
      <c r="EJ28" s="83">
        <f>+EJ6+EJ17</f>
        <v>100</v>
      </c>
      <c r="EK28" s="83">
        <f>+EK6+EK17</f>
        <v>100</v>
      </c>
      <c r="EL28" s="83">
        <f>+EL6+EL17</f>
        <v>100</v>
      </c>
      <c r="EM28" s="50"/>
      <c r="EN28" s="50"/>
      <c r="EO28" s="160">
        <f>+(EJ28+EK28+EL28+EM28+EI28+EH28)/5</f>
        <v>100.6</v>
      </c>
      <c r="EP28" s="83">
        <f>+EP6+EP17</f>
        <v>103</v>
      </c>
      <c r="EQ28" s="83">
        <f>+EQ6+EQ17</f>
        <v>106</v>
      </c>
      <c r="ER28" s="83">
        <f>+ER6+ER17</f>
        <v>101</v>
      </c>
      <c r="ES28" s="83">
        <f>+ES6+ES17</f>
        <v>100</v>
      </c>
      <c r="ET28" s="83">
        <f>+ET6+ET17</f>
        <v>105</v>
      </c>
      <c r="EU28" s="50"/>
      <c r="EV28" s="50"/>
      <c r="EW28" s="160">
        <f>+(ER28+ES28+ET28+EU28+EQ28+EP28)/5</f>
        <v>103</v>
      </c>
      <c r="EX28" s="83">
        <f>+EX6+EX17</f>
        <v>104</v>
      </c>
      <c r="EY28" s="83">
        <f>+EY6+EY17</f>
        <v>95</v>
      </c>
      <c r="EZ28" s="83">
        <f>+EZ6+EZ17</f>
        <v>98</v>
      </c>
      <c r="FA28" s="83">
        <f>+FA6+FA17</f>
        <v>51</v>
      </c>
      <c r="FB28" s="83">
        <f>+FB6+FB17</f>
        <v>96</v>
      </c>
      <c r="FC28" s="50"/>
      <c r="FD28" s="50"/>
      <c r="FE28" s="160">
        <f>+(EZ28+FA28+FB28+FC28+EY28+EX28)/5</f>
        <v>88.8</v>
      </c>
      <c r="FF28" s="50"/>
      <c r="FG28" s="50"/>
      <c r="FH28" s="83">
        <f>+FH6+FH17</f>
        <v>97</v>
      </c>
      <c r="FI28" s="83">
        <f>+FI6+FI17</f>
        <v>96</v>
      </c>
      <c r="FJ28" s="83">
        <f>+FJ6+FJ17</f>
        <v>95</v>
      </c>
      <c r="FK28" s="50"/>
      <c r="FL28" s="160">
        <f>+(FG28+FH28+FI28+FJ28+FF28)/3</f>
        <v>96</v>
      </c>
      <c r="FM28" s="83"/>
      <c r="FN28" s="83">
        <f>+FN6+FN17</f>
        <v>92</v>
      </c>
      <c r="FO28" s="83">
        <f>+FO6+FO17</f>
        <v>90</v>
      </c>
      <c r="FP28" s="83">
        <f>+FP6+FP17</f>
        <v>91</v>
      </c>
      <c r="FQ28" s="83">
        <f>+FQ6+FQ17</f>
        <v>92</v>
      </c>
      <c r="FR28" s="50"/>
      <c r="FS28" s="50"/>
      <c r="FT28" s="160">
        <f>+(FN28+FO28+FP28+FQ28+FM28)/4</f>
        <v>91.25</v>
      </c>
      <c r="FU28" s="83">
        <f>+FU6+FU17</f>
        <v>99</v>
      </c>
      <c r="FV28" s="83">
        <f>+FV6+FV17</f>
        <v>96</v>
      </c>
      <c r="FW28" s="83">
        <f>+FW6+FW17</f>
        <v>94</v>
      </c>
      <c r="FX28" s="83">
        <f>+FX6+FX17</f>
        <v>90</v>
      </c>
      <c r="FY28" s="83">
        <f>+FY6+FY17</f>
        <v>84</v>
      </c>
      <c r="FZ28" s="50"/>
      <c r="GA28" s="160">
        <f>+(FV28+FW28+FX28+FY28+FU28)/3</f>
        <v>154.33333333333334</v>
      </c>
      <c r="GB28" s="50"/>
      <c r="GC28" s="50"/>
      <c r="GD28" s="50"/>
      <c r="GE28" s="50"/>
      <c r="GF28" s="50"/>
      <c r="GG28" s="50"/>
      <c r="GH28" s="50"/>
      <c r="GI28" s="83">
        <f>+GI6+GI17</f>
        <v>41</v>
      </c>
      <c r="GJ28" s="83">
        <f>+GJ6+GJ17</f>
        <v>75</v>
      </c>
      <c r="GK28" s="83">
        <f>+GK6+GK17</f>
        <v>81</v>
      </c>
      <c r="GL28" s="83">
        <f>+GL6+GL17</f>
        <v>76</v>
      </c>
      <c r="GM28" s="83">
        <f>+GM6+GM17</f>
        <v>78</v>
      </c>
      <c r="GN28" s="50"/>
      <c r="GO28" s="160">
        <f>+(GJ28+GK28+GL28+GM28+GI28)/3</f>
        <v>117</v>
      </c>
      <c r="GP28" s="83"/>
      <c r="GQ28" s="83">
        <f>+GQ6+GQ17</f>
        <v>38</v>
      </c>
      <c r="GR28" s="83">
        <f>+GR6+GR17</f>
        <v>79</v>
      </c>
      <c r="GS28" s="181">
        <f>+GS6+GS17</f>
        <v>80</v>
      </c>
      <c r="GT28" s="181">
        <f>+GT6+GT17</f>
        <v>78</v>
      </c>
      <c r="GU28" s="178"/>
      <c r="GV28" s="178"/>
      <c r="GW28" s="202">
        <f>+(GR28+GS28+GT28+GU28+GQ28)/3</f>
        <v>91.666666666666671</v>
      </c>
      <c r="GX28" s="228">
        <f>+GX6+GX17</f>
        <v>39</v>
      </c>
      <c r="GY28" s="181">
        <f>+GY6+GY17</f>
        <v>77</v>
      </c>
      <c r="GZ28" s="181">
        <f>+GZ6+GZ17</f>
        <v>74</v>
      </c>
      <c r="HA28" s="181">
        <f>+HA6+HA17</f>
        <v>75</v>
      </c>
      <c r="HB28" s="178"/>
      <c r="HC28" s="178"/>
      <c r="HD28" s="229">
        <f>+(GY28+GZ28+HA28+HB28+GX28)/3</f>
        <v>88.333333333333329</v>
      </c>
      <c r="HE28" s="291">
        <f>+(GZ28+HA28+HB28+HC28+GY28)/3</f>
        <v>75.333333333333329</v>
      </c>
      <c r="HF28" s="295">
        <f>+(HA28+HB28+HC28+HD28+GZ28)/3</f>
        <v>79.1111111111111</v>
      </c>
      <c r="HG28" s="295">
        <f>+(HB28+HC28+HD28+HE28+HA28)/3</f>
        <v>79.555555555555557</v>
      </c>
      <c r="HH28" s="295">
        <f>+(HC28+HD28+HE28+HF28+HB28)/3</f>
        <v>80.925925925925924</v>
      </c>
      <c r="HI28" s="295">
        <f>+(HD28+HE28+HF28+HG28+HC28)/3</f>
        <v>107.44444444444444</v>
      </c>
      <c r="HJ28" s="178"/>
      <c r="HK28" s="179"/>
    </row>
    <row r="29" spans="1:219" s="70" customFormat="1" ht="19.5" thickBot="1" x14ac:dyDescent="0.35">
      <c r="A29" s="6"/>
      <c r="B29" s="323"/>
      <c r="C29" s="124" t="s">
        <v>6</v>
      </c>
      <c r="D29" s="161">
        <f t="shared" ref="D29:AA29" si="127">D7+D18</f>
        <v>0</v>
      </c>
      <c r="E29" s="62">
        <f t="shared" si="127"/>
        <v>0</v>
      </c>
      <c r="F29" s="62">
        <f t="shared" si="127"/>
        <v>0</v>
      </c>
      <c r="G29" s="62">
        <f t="shared" si="127"/>
        <v>0</v>
      </c>
      <c r="H29" s="62">
        <f t="shared" si="127"/>
        <v>0</v>
      </c>
      <c r="I29" s="62">
        <f t="shared" si="127"/>
        <v>0</v>
      </c>
      <c r="J29" s="62">
        <f t="shared" si="127"/>
        <v>0</v>
      </c>
      <c r="K29" s="53">
        <f t="shared" si="127"/>
        <v>2</v>
      </c>
      <c r="L29" s="53">
        <f t="shared" si="127"/>
        <v>0</v>
      </c>
      <c r="M29" s="53">
        <f t="shared" si="127"/>
        <v>10</v>
      </c>
      <c r="N29" s="53">
        <f t="shared" si="127"/>
        <v>8</v>
      </c>
      <c r="O29" s="53">
        <f t="shared" si="127"/>
        <v>12</v>
      </c>
      <c r="P29" s="53">
        <f t="shared" si="127"/>
        <v>0</v>
      </c>
      <c r="Q29" s="53">
        <f t="shared" si="127"/>
        <v>0</v>
      </c>
      <c r="R29" s="53">
        <f t="shared" si="127"/>
        <v>4</v>
      </c>
      <c r="S29" s="53">
        <f t="shared" si="127"/>
        <v>5</v>
      </c>
      <c r="T29" s="53">
        <f t="shared" si="127"/>
        <v>5</v>
      </c>
      <c r="U29" s="53">
        <f t="shared" si="127"/>
        <v>8</v>
      </c>
      <c r="V29" s="53">
        <f t="shared" si="127"/>
        <v>8</v>
      </c>
      <c r="W29" s="53">
        <f t="shared" si="127"/>
        <v>0</v>
      </c>
      <c r="X29" s="53">
        <f t="shared" si="127"/>
        <v>0</v>
      </c>
      <c r="Y29" s="53">
        <f t="shared" si="127"/>
        <v>7</v>
      </c>
      <c r="Z29" s="53">
        <f t="shared" si="127"/>
        <v>8</v>
      </c>
      <c r="AA29" s="53">
        <f t="shared" si="127"/>
        <v>11</v>
      </c>
      <c r="AB29" s="53">
        <v>7</v>
      </c>
      <c r="AC29" s="53">
        <f t="shared" ref="AC29:AX29" si="128">AC7+AC18</f>
        <v>13</v>
      </c>
      <c r="AD29" s="53">
        <f t="shared" si="128"/>
        <v>1</v>
      </c>
      <c r="AE29" s="53">
        <f t="shared" si="128"/>
        <v>0</v>
      </c>
      <c r="AF29" s="53">
        <f t="shared" si="128"/>
        <v>15</v>
      </c>
      <c r="AG29" s="53">
        <f t="shared" si="128"/>
        <v>17</v>
      </c>
      <c r="AH29" s="53">
        <f t="shared" si="128"/>
        <v>11</v>
      </c>
      <c r="AI29" s="53">
        <f t="shared" si="128"/>
        <v>11</v>
      </c>
      <c r="AJ29" s="53">
        <f t="shared" si="128"/>
        <v>13</v>
      </c>
      <c r="AK29" s="53">
        <f t="shared" si="128"/>
        <v>0</v>
      </c>
      <c r="AL29" s="53">
        <f t="shared" si="128"/>
        <v>0</v>
      </c>
      <c r="AM29" s="53">
        <f t="shared" si="128"/>
        <v>0</v>
      </c>
      <c r="AN29" s="53">
        <f t="shared" si="128"/>
        <v>4</v>
      </c>
      <c r="AO29" s="53">
        <f t="shared" si="128"/>
        <v>7</v>
      </c>
      <c r="AP29" s="53">
        <f t="shared" si="128"/>
        <v>5</v>
      </c>
      <c r="AQ29" s="53">
        <f t="shared" si="128"/>
        <v>4</v>
      </c>
      <c r="AR29" s="53">
        <f t="shared" si="128"/>
        <v>0</v>
      </c>
      <c r="AS29" s="53">
        <f t="shared" si="128"/>
        <v>0</v>
      </c>
      <c r="AT29" s="53">
        <f t="shared" si="128"/>
        <v>8</v>
      </c>
      <c r="AU29" s="53">
        <f t="shared" si="128"/>
        <v>7</v>
      </c>
      <c r="AV29" s="53">
        <f t="shared" si="128"/>
        <v>11</v>
      </c>
      <c r="AW29" s="53">
        <f t="shared" si="128"/>
        <v>11</v>
      </c>
      <c r="AX29" s="53">
        <f t="shared" si="128"/>
        <v>11</v>
      </c>
      <c r="AY29" s="53">
        <v>0</v>
      </c>
      <c r="AZ29" s="53">
        <f t="shared" ref="AZ29:BS29" si="129">AZ7+AZ18</f>
        <v>0</v>
      </c>
      <c r="BA29" s="53">
        <f t="shared" si="129"/>
        <v>4</v>
      </c>
      <c r="BB29" s="53">
        <f t="shared" si="129"/>
        <v>8</v>
      </c>
      <c r="BC29" s="53">
        <f t="shared" si="129"/>
        <v>6</v>
      </c>
      <c r="BD29" s="53">
        <f t="shared" si="129"/>
        <v>7</v>
      </c>
      <c r="BE29" s="53">
        <f t="shared" si="129"/>
        <v>7</v>
      </c>
      <c r="BF29" s="53">
        <f t="shared" si="129"/>
        <v>0</v>
      </c>
      <c r="BG29" s="53">
        <f t="shared" si="129"/>
        <v>0</v>
      </c>
      <c r="BH29" s="53">
        <f t="shared" si="129"/>
        <v>9</v>
      </c>
      <c r="BI29" s="53">
        <f t="shared" si="129"/>
        <v>11</v>
      </c>
      <c r="BJ29" s="53">
        <f t="shared" si="129"/>
        <v>15</v>
      </c>
      <c r="BK29" s="53">
        <f t="shared" si="129"/>
        <v>18</v>
      </c>
      <c r="BL29" s="53">
        <f t="shared" si="129"/>
        <v>15</v>
      </c>
      <c r="BM29" s="53">
        <f t="shared" si="129"/>
        <v>0</v>
      </c>
      <c r="BN29" s="53">
        <f t="shared" si="129"/>
        <v>0</v>
      </c>
      <c r="BO29" s="67">
        <f t="shared" si="129"/>
        <v>7</v>
      </c>
      <c r="BP29" s="67">
        <f t="shared" si="129"/>
        <v>11</v>
      </c>
      <c r="BQ29" s="67">
        <f t="shared" si="129"/>
        <v>13</v>
      </c>
      <c r="BR29" s="67">
        <f t="shared" si="129"/>
        <v>13</v>
      </c>
      <c r="BS29" s="67">
        <f t="shared" si="129"/>
        <v>13</v>
      </c>
      <c r="BT29" s="67">
        <v>0</v>
      </c>
      <c r="BU29" s="67">
        <f>+BU7+BU18</f>
        <v>57</v>
      </c>
      <c r="BV29" s="67">
        <f t="shared" ref="BV29:CA29" si="130">BV7+BV18</f>
        <v>12</v>
      </c>
      <c r="BW29" s="67">
        <f t="shared" si="130"/>
        <v>9</v>
      </c>
      <c r="BX29" s="67">
        <f t="shared" si="130"/>
        <v>14</v>
      </c>
      <c r="BY29" s="67">
        <f t="shared" si="130"/>
        <v>15</v>
      </c>
      <c r="BZ29" s="67">
        <f t="shared" si="130"/>
        <v>19</v>
      </c>
      <c r="CA29" s="67">
        <f t="shared" si="130"/>
        <v>1</v>
      </c>
      <c r="CB29" s="67">
        <f>+CB7+CB18</f>
        <v>13</v>
      </c>
      <c r="CC29" s="53">
        <f t="shared" ref="CC29:CH29" si="131">CC7+CC18</f>
        <v>12</v>
      </c>
      <c r="CD29" s="53">
        <f t="shared" si="131"/>
        <v>15</v>
      </c>
      <c r="CE29" s="53">
        <f t="shared" si="131"/>
        <v>14</v>
      </c>
      <c r="CF29" s="53">
        <f t="shared" si="131"/>
        <v>16</v>
      </c>
      <c r="CG29" s="53">
        <f t="shared" si="131"/>
        <v>15</v>
      </c>
      <c r="CH29" s="53">
        <f t="shared" si="131"/>
        <v>0</v>
      </c>
      <c r="CI29" s="162">
        <f>+CI7+CI18</f>
        <v>12.966666666666667</v>
      </c>
      <c r="CJ29" s="53">
        <f t="shared" ref="CJ29:CO29" si="132">CJ7+CJ18</f>
        <v>8</v>
      </c>
      <c r="CK29" s="53">
        <f t="shared" si="132"/>
        <v>9</v>
      </c>
      <c r="CL29" s="53">
        <f t="shared" si="132"/>
        <v>9</v>
      </c>
      <c r="CM29" s="53">
        <f t="shared" si="132"/>
        <v>9</v>
      </c>
      <c r="CN29" s="53">
        <f t="shared" si="132"/>
        <v>9</v>
      </c>
      <c r="CO29" s="53">
        <f t="shared" si="132"/>
        <v>1</v>
      </c>
      <c r="CP29" s="162">
        <f>+CP7+CP18</f>
        <v>8.1</v>
      </c>
      <c r="CQ29" s="53">
        <f>CQ7+CQ18</f>
        <v>14</v>
      </c>
      <c r="CR29" s="53">
        <f>CR7+CR18</f>
        <v>18</v>
      </c>
      <c r="CS29" s="53">
        <f>CS7+CS18</f>
        <v>16</v>
      </c>
      <c r="CT29" s="53">
        <f>CT7+CT18</f>
        <v>17</v>
      </c>
      <c r="CU29" s="53">
        <f>CU7+CU18</f>
        <v>21</v>
      </c>
      <c r="CV29" s="52"/>
      <c r="CW29" s="162">
        <f>+CW7+CW18</f>
        <v>15.8</v>
      </c>
      <c r="CX29" s="53"/>
      <c r="CY29" s="87">
        <f>CY7+CY18</f>
        <v>17</v>
      </c>
      <c r="CZ29" s="87">
        <f>CZ7+CZ18</f>
        <v>14</v>
      </c>
      <c r="DA29" s="87">
        <f>DA7+DA18</f>
        <v>15</v>
      </c>
      <c r="DB29" s="87">
        <f>DB7+DB18</f>
        <v>12</v>
      </c>
      <c r="DC29" s="88"/>
      <c r="DD29" s="85">
        <f>+DD7+DD18</f>
        <v>14.5</v>
      </c>
      <c r="DE29" s="87">
        <f>DE7+DE18</f>
        <v>12</v>
      </c>
      <c r="DF29" s="87">
        <f>DF7+DF18</f>
        <v>14</v>
      </c>
      <c r="DG29" s="87">
        <f>DG7+DG18</f>
        <v>17</v>
      </c>
      <c r="DH29" s="85">
        <f>DH7+DH18</f>
        <v>14</v>
      </c>
      <c r="DI29" s="85">
        <f>DI7+DI18</f>
        <v>17</v>
      </c>
      <c r="DJ29" s="85"/>
      <c r="DK29" s="85">
        <f>+DK7+DK18</f>
        <v>13</v>
      </c>
      <c r="DL29" s="85">
        <f>DL7+DL18</f>
        <v>14</v>
      </c>
      <c r="DM29" s="85">
        <f>DM7+DM18</f>
        <v>13</v>
      </c>
      <c r="DN29" s="85">
        <f>DN7+DN18</f>
        <v>7</v>
      </c>
      <c r="DO29" s="85">
        <f>DO7+DO18</f>
        <v>6</v>
      </c>
      <c r="DP29" s="85">
        <f>DP7+DP18</f>
        <v>5</v>
      </c>
      <c r="DQ29" s="52"/>
      <c r="DR29" s="85">
        <f>+DR7+DR18</f>
        <v>11.25</v>
      </c>
      <c r="DS29" s="85">
        <f>DS7+DS18</f>
        <v>6</v>
      </c>
      <c r="DT29" s="85">
        <f>DT7+DT18</f>
        <v>8</v>
      </c>
      <c r="DU29" s="85">
        <f>DU7+DU18</f>
        <v>7</v>
      </c>
      <c r="DV29" s="85">
        <f>DV7+DV18</f>
        <v>12</v>
      </c>
      <c r="DW29" s="52"/>
      <c r="DX29" s="52"/>
      <c r="DY29" s="85">
        <f>+DY7+DY18</f>
        <v>8.25</v>
      </c>
      <c r="DZ29" s="85">
        <f>DZ7+DZ18</f>
        <v>13</v>
      </c>
      <c r="EA29" s="85">
        <f>EA7+EA18</f>
        <v>10</v>
      </c>
      <c r="EB29" s="85">
        <f>EB7+EB18</f>
        <v>9</v>
      </c>
      <c r="EC29" s="85">
        <f>EC7+EC18</f>
        <v>7</v>
      </c>
      <c r="ED29" s="85">
        <f>ED7+ED18</f>
        <v>11</v>
      </c>
      <c r="EE29" s="52"/>
      <c r="EF29" s="52"/>
      <c r="EG29" s="85">
        <f>+EG7+EG18</f>
        <v>11.75</v>
      </c>
      <c r="EH29" s="85">
        <f>EH7+EH18</f>
        <v>11</v>
      </c>
      <c r="EI29" s="85">
        <f>EI7+EI18</f>
        <v>9</v>
      </c>
      <c r="EJ29" s="85">
        <f>EJ7+EJ18</f>
        <v>10</v>
      </c>
      <c r="EK29" s="85">
        <f>EK7+EK18</f>
        <v>11</v>
      </c>
      <c r="EL29" s="85">
        <f>EL7+EL18</f>
        <v>11</v>
      </c>
      <c r="EM29" s="52"/>
      <c r="EN29" s="52"/>
      <c r="EO29" s="85">
        <f>+EO7+EO18</f>
        <v>10.399999999999999</v>
      </c>
      <c r="EP29" s="85">
        <f>EP7+EP18</f>
        <v>10</v>
      </c>
      <c r="EQ29" s="85">
        <f>EQ7+EQ18</f>
        <v>5</v>
      </c>
      <c r="ER29" s="85">
        <f>ER7+ER18</f>
        <v>10</v>
      </c>
      <c r="ES29" s="85">
        <f>ES7+ES18</f>
        <v>11</v>
      </c>
      <c r="ET29" s="85">
        <f>ET7+ET18</f>
        <v>6</v>
      </c>
      <c r="EU29" s="52"/>
      <c r="EV29" s="52"/>
      <c r="EW29" s="85">
        <f>+EW7+EW18</f>
        <v>8.4</v>
      </c>
      <c r="EX29" s="85">
        <f>EX7+EX18</f>
        <v>7</v>
      </c>
      <c r="EY29" s="85">
        <f>EY7+EY18</f>
        <v>15</v>
      </c>
      <c r="EZ29" s="85">
        <f>EZ7+EZ18</f>
        <v>12</v>
      </c>
      <c r="FA29" s="85">
        <f>FA7+FA18</f>
        <v>4</v>
      </c>
      <c r="FB29" s="85">
        <f>FB7+FB18</f>
        <v>14</v>
      </c>
      <c r="FC29" s="52"/>
      <c r="FD29" s="52"/>
      <c r="FE29" s="85">
        <f>+FE7+FE18</f>
        <v>10.4</v>
      </c>
      <c r="FF29" s="52"/>
      <c r="FG29" s="52"/>
      <c r="FH29" s="85">
        <f>FH7+FH18</f>
        <v>9</v>
      </c>
      <c r="FI29" s="85">
        <f>FI7+FI18</f>
        <v>10</v>
      </c>
      <c r="FJ29" s="85">
        <f>FJ7+FJ18</f>
        <v>11</v>
      </c>
      <c r="FK29" s="52"/>
      <c r="FL29" s="85">
        <f>+FL7+FL18</f>
        <v>10</v>
      </c>
      <c r="FM29" s="85"/>
      <c r="FN29" s="85">
        <f>FN7+FN18</f>
        <v>12</v>
      </c>
      <c r="FO29" s="85">
        <f>FO7+FO18</f>
        <v>15</v>
      </c>
      <c r="FP29" s="85">
        <f>FP7+FP18</f>
        <v>14</v>
      </c>
      <c r="FQ29" s="85">
        <f>FQ7+FQ18</f>
        <v>12</v>
      </c>
      <c r="FR29" s="52"/>
      <c r="FS29" s="52"/>
      <c r="FT29" s="85">
        <f>+FT7+FT18</f>
        <v>13.25</v>
      </c>
      <c r="FU29" s="85">
        <f>FU7+FU18</f>
        <v>7</v>
      </c>
      <c r="FV29" s="85">
        <f>FV7+FV18</f>
        <v>10</v>
      </c>
      <c r="FW29" s="85">
        <f>FW7+FW18</f>
        <v>12</v>
      </c>
      <c r="FX29" s="85">
        <f>FX7+FX18</f>
        <v>16</v>
      </c>
      <c r="FY29" s="85">
        <f>FY7+FY18</f>
        <v>20</v>
      </c>
      <c r="FZ29" s="52"/>
      <c r="GA29" s="85">
        <f>+GA7+GA18</f>
        <v>21.666666666666668</v>
      </c>
      <c r="GB29" s="52"/>
      <c r="GC29" s="52"/>
      <c r="GD29" s="52"/>
      <c r="GE29" s="52"/>
      <c r="GF29" s="52"/>
      <c r="GG29" s="52"/>
      <c r="GH29" s="52"/>
      <c r="GI29" s="85">
        <f>GI7+GI18</f>
        <v>8</v>
      </c>
      <c r="GJ29" s="85">
        <f>GJ7+GJ18</f>
        <v>17</v>
      </c>
      <c r="GK29" s="85">
        <f>GK7+GK18</f>
        <v>11</v>
      </c>
      <c r="GL29" s="85">
        <f>GL7+GL18</f>
        <v>16</v>
      </c>
      <c r="GM29" s="85">
        <f>GM7+GM18</f>
        <v>14</v>
      </c>
      <c r="GN29" s="52"/>
      <c r="GO29" s="85">
        <f>+GO7+GO18</f>
        <v>22</v>
      </c>
      <c r="GP29" s="85"/>
      <c r="GQ29" s="85">
        <f>GQ7+GQ18</f>
        <v>8</v>
      </c>
      <c r="GR29" s="85">
        <f>GR7+GR18</f>
        <v>14</v>
      </c>
      <c r="GS29" s="182">
        <f>GS7+GS18</f>
        <v>12</v>
      </c>
      <c r="GT29" s="182">
        <f>GT7+GT18</f>
        <v>15</v>
      </c>
      <c r="GU29" s="183"/>
      <c r="GV29" s="183"/>
      <c r="GW29" s="203">
        <f>+GW7+GW18</f>
        <v>13.583333333333332</v>
      </c>
      <c r="GX29" s="230">
        <f>GX7+GX18</f>
        <v>7</v>
      </c>
      <c r="GY29" s="182">
        <f>GY7+GY18</f>
        <v>15</v>
      </c>
      <c r="GZ29" s="182">
        <f>GZ7+GZ18</f>
        <v>19</v>
      </c>
      <c r="HA29" s="182">
        <f>HA7+HA18</f>
        <v>18</v>
      </c>
      <c r="HB29" s="183"/>
      <c r="HC29" s="183"/>
      <c r="HD29" s="231">
        <f>+HD7+HD18</f>
        <v>17</v>
      </c>
      <c r="HE29" s="230">
        <f>+HE7+HE18</f>
        <v>6</v>
      </c>
      <c r="HF29" s="296">
        <f>+HF7+HF18</f>
        <v>17</v>
      </c>
      <c r="HG29" s="296">
        <f>+HG7+HG18</f>
        <v>21</v>
      </c>
      <c r="HH29" s="296">
        <f>+HH7+HH18</f>
        <v>20</v>
      </c>
      <c r="HI29" s="296">
        <f>+HI7+HI18</f>
        <v>24</v>
      </c>
      <c r="HJ29" s="183"/>
      <c r="HK29" s="184"/>
    </row>
    <row r="30" spans="1:219" s="70" customFormat="1" ht="19.5" thickBot="1" x14ac:dyDescent="0.35">
      <c r="A30" s="6"/>
      <c r="B30" s="323"/>
      <c r="C30" s="124" t="s">
        <v>87</v>
      </c>
      <c r="D30" s="161"/>
      <c r="E30" s="62"/>
      <c r="F30" s="62"/>
      <c r="G30" s="62"/>
      <c r="H30" s="62"/>
      <c r="I30" s="62"/>
      <c r="J30" s="62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7">
        <f>BO29/60</f>
        <v>0.11666666666666667</v>
      </c>
      <c r="BP30" s="57">
        <f t="shared" ref="BP30:BT30" si="133">BP29/60</f>
        <v>0.18333333333333332</v>
      </c>
      <c r="BQ30" s="57">
        <f t="shared" si="133"/>
        <v>0.21666666666666667</v>
      </c>
      <c r="BR30" s="57">
        <f t="shared" si="133"/>
        <v>0.21666666666666667</v>
      </c>
      <c r="BS30" s="57">
        <f t="shared" si="133"/>
        <v>0.21666666666666667</v>
      </c>
      <c r="BT30" s="57">
        <f t="shared" si="133"/>
        <v>0</v>
      </c>
      <c r="BU30" s="163">
        <f>AVERAGE(BO30:BT30)</f>
        <v>0.15833333333333333</v>
      </c>
      <c r="BV30" s="57">
        <f t="shared" ref="BV30:CA30" si="134">BV29/60</f>
        <v>0.2</v>
      </c>
      <c r="BW30" s="57">
        <f t="shared" si="134"/>
        <v>0.15</v>
      </c>
      <c r="BX30" s="57">
        <f t="shared" si="134"/>
        <v>0.23333333333333334</v>
      </c>
      <c r="BY30" s="57">
        <f t="shared" si="134"/>
        <v>0.25</v>
      </c>
      <c r="BZ30" s="57">
        <f t="shared" si="134"/>
        <v>0.31666666666666665</v>
      </c>
      <c r="CA30" s="57">
        <f t="shared" si="134"/>
        <v>1.6666666666666666E-2</v>
      </c>
      <c r="CB30" s="163">
        <f>AVERAGE(BV30:CA30)</f>
        <v>0.19444444444444442</v>
      </c>
      <c r="CC30" s="57">
        <f t="shared" ref="CC30:CH30" si="135">CC29/94</f>
        <v>0.1276595744680851</v>
      </c>
      <c r="CD30" s="57">
        <f t="shared" si="135"/>
        <v>0.15957446808510639</v>
      </c>
      <c r="CE30" s="57">
        <f t="shared" si="135"/>
        <v>0.14893617021276595</v>
      </c>
      <c r="CF30" s="57">
        <f t="shared" si="135"/>
        <v>0.1702127659574468</v>
      </c>
      <c r="CG30" s="57">
        <f t="shared" si="135"/>
        <v>0.15957446808510639</v>
      </c>
      <c r="CH30" s="57">
        <f t="shared" si="135"/>
        <v>0</v>
      </c>
      <c r="CI30" s="163">
        <f>AVERAGE(CC30:CH30)</f>
        <v>0.1276595744680851</v>
      </c>
      <c r="CJ30" s="57">
        <f t="shared" ref="CJ30:CK30" si="136">CJ29/94</f>
        <v>8.5106382978723402E-2</v>
      </c>
      <c r="CK30" s="57">
        <f t="shared" si="136"/>
        <v>9.5744680851063829E-2</v>
      </c>
      <c r="CL30" s="57">
        <f t="shared" ref="CL30:CM30" si="137">CL29/94</f>
        <v>9.5744680851063829E-2</v>
      </c>
      <c r="CM30" s="57">
        <f t="shared" si="137"/>
        <v>9.5744680851063829E-2</v>
      </c>
      <c r="CN30" s="57">
        <f t="shared" ref="CN30:CO30" si="138">CN29/94</f>
        <v>9.5744680851063829E-2</v>
      </c>
      <c r="CO30" s="57">
        <f t="shared" si="138"/>
        <v>1.0638297872340425E-2</v>
      </c>
      <c r="CP30" s="163">
        <f>AVERAGE(CJ30:CO30)</f>
        <v>7.9787234042553182E-2</v>
      </c>
      <c r="CQ30" s="57">
        <f t="shared" ref="CQ30:CR30" si="139">CQ29/94</f>
        <v>0.14893617021276595</v>
      </c>
      <c r="CR30" s="57">
        <f t="shared" si="139"/>
        <v>0.19148936170212766</v>
      </c>
      <c r="CS30" s="57">
        <f>CS29/CS28</f>
        <v>0.17391304347826086</v>
      </c>
      <c r="CT30" s="57">
        <f>CT29/CT28</f>
        <v>0.18681318681318682</v>
      </c>
      <c r="CU30" s="57">
        <f>CU29/CU28</f>
        <v>0.2413793103448276</v>
      </c>
      <c r="CV30" s="52"/>
      <c r="CW30" s="163">
        <f>AVERAGE(CQ30:CV30)</f>
        <v>0.18850621451023378</v>
      </c>
      <c r="CX30" s="57"/>
      <c r="CY30" s="57">
        <f>CY29/98</f>
        <v>0.17346938775510204</v>
      </c>
      <c r="CZ30" s="57">
        <f>CZ29/98</f>
        <v>0.14285714285714285</v>
      </c>
      <c r="DA30" s="57">
        <f>DA29/98</f>
        <v>0.15306122448979592</v>
      </c>
      <c r="DB30" s="57">
        <f>DB29/98</f>
        <v>0.12244897959183673</v>
      </c>
      <c r="DC30" s="88"/>
      <c r="DD30" s="57">
        <f>AVERAGE(CX30:DB30)</f>
        <v>0.14795918367346939</v>
      </c>
      <c r="DE30" s="57">
        <f>DE29/108</f>
        <v>0.1111111111111111</v>
      </c>
      <c r="DF30" s="57">
        <f t="shared" ref="DF30:DG30" si="140">DF29/108</f>
        <v>0.12962962962962962</v>
      </c>
      <c r="DG30" s="57">
        <f t="shared" si="140"/>
        <v>0.15740740740740741</v>
      </c>
      <c r="DH30" s="57">
        <f t="shared" ref="DH30:DI30" si="141">DH29/108</f>
        <v>0.12962962962962962</v>
      </c>
      <c r="DI30" s="57">
        <f t="shared" si="141"/>
        <v>0.15740740740740741</v>
      </c>
      <c r="DJ30" s="57"/>
      <c r="DK30" s="57">
        <f>AVERAGE(DE30:DI30)</f>
        <v>0.13703703703703704</v>
      </c>
      <c r="DL30" s="57">
        <f t="shared" ref="DL30:DO30" si="142">DL29/108</f>
        <v>0.12962962962962962</v>
      </c>
      <c r="DM30" s="57">
        <f t="shared" si="142"/>
        <v>0.12037037037037036</v>
      </c>
      <c r="DN30" s="57">
        <f t="shared" si="142"/>
        <v>6.4814814814814811E-2</v>
      </c>
      <c r="DO30" s="57">
        <f t="shared" si="142"/>
        <v>5.5555555555555552E-2</v>
      </c>
      <c r="DP30" s="57">
        <f t="shared" ref="DP30" si="143">DP29/108</f>
        <v>4.6296296296296294E-2</v>
      </c>
      <c r="DQ30" s="52"/>
      <c r="DR30" s="57">
        <f>AVERAGE(DL30:DP30)</f>
        <v>8.3333333333333329E-2</v>
      </c>
      <c r="DS30" s="57">
        <f t="shared" ref="DS30:DU30" si="144">DS29/108</f>
        <v>5.5555555555555552E-2</v>
      </c>
      <c r="DT30" s="57">
        <f t="shared" si="144"/>
        <v>7.407407407407407E-2</v>
      </c>
      <c r="DU30" s="57">
        <f t="shared" si="144"/>
        <v>6.4814814814814811E-2</v>
      </c>
      <c r="DV30" s="57">
        <f t="shared" ref="DV30" si="145">DV29/108</f>
        <v>0.1111111111111111</v>
      </c>
      <c r="DW30" s="52"/>
      <c r="DX30" s="52"/>
      <c r="DY30" s="57">
        <f>AVERAGE(DS30:DW30)</f>
        <v>7.6388888888888881E-2</v>
      </c>
      <c r="DZ30" s="57">
        <f t="shared" ref="DZ30:EA30" si="146">DZ29/108</f>
        <v>0.12037037037037036</v>
      </c>
      <c r="EA30" s="57">
        <f t="shared" si="146"/>
        <v>9.2592592592592587E-2</v>
      </c>
      <c r="EB30" s="57">
        <f t="shared" ref="EB30:EC30" si="147">EB29/108</f>
        <v>8.3333333333333329E-2</v>
      </c>
      <c r="EC30" s="57">
        <f t="shared" si="147"/>
        <v>6.4814814814814811E-2</v>
      </c>
      <c r="ED30" s="57">
        <f t="shared" ref="ED30" si="148">ED29/108</f>
        <v>0.10185185185185185</v>
      </c>
      <c r="EE30" s="52"/>
      <c r="EF30" s="52"/>
      <c r="EG30" s="57">
        <f>AVERAGE(DZ30:ED30)</f>
        <v>9.2592592592592587E-2</v>
      </c>
      <c r="EH30" s="57">
        <f t="shared" ref="EH30:EJ30" si="149">EH29/108</f>
        <v>0.10185185185185185</v>
      </c>
      <c r="EI30" s="57">
        <f t="shared" si="149"/>
        <v>8.3333333333333329E-2</v>
      </c>
      <c r="EJ30" s="57">
        <f t="shared" si="149"/>
        <v>9.2592592592592587E-2</v>
      </c>
      <c r="EK30" s="57">
        <f t="shared" ref="EK30:EL30" si="150">EK29/108</f>
        <v>0.10185185185185185</v>
      </c>
      <c r="EL30" s="57">
        <f t="shared" si="150"/>
        <v>0.10185185185185185</v>
      </c>
      <c r="EM30" s="52"/>
      <c r="EN30" s="52"/>
      <c r="EO30" s="57">
        <f>AVERAGE(EH30:EM30)</f>
        <v>9.6296296296296297E-2</v>
      </c>
      <c r="EP30" s="57">
        <f t="shared" ref="EP30:EQ30" si="151">EP29/108</f>
        <v>9.2592592592592587E-2</v>
      </c>
      <c r="EQ30" s="57">
        <f t="shared" si="151"/>
        <v>4.6296296296296294E-2</v>
      </c>
      <c r="ER30" s="57">
        <f t="shared" ref="ER30:ES30" si="152">ER29/108</f>
        <v>9.2592592592592587E-2</v>
      </c>
      <c r="ES30" s="57">
        <f t="shared" si="152"/>
        <v>0.10185185185185185</v>
      </c>
      <c r="ET30" s="57">
        <f t="shared" ref="ET30" si="153">ET29/108</f>
        <v>5.5555555555555552E-2</v>
      </c>
      <c r="EU30" s="52"/>
      <c r="EV30" s="52"/>
      <c r="EW30" s="57">
        <f>AVERAGE(EP30:EU30)</f>
        <v>7.7777777777777765E-2</v>
      </c>
      <c r="EX30" s="57">
        <f t="shared" ref="EX30:EY30" si="154">EX29/108</f>
        <v>6.4814814814814811E-2</v>
      </c>
      <c r="EY30" s="57">
        <f t="shared" si="154"/>
        <v>0.1388888888888889</v>
      </c>
      <c r="EZ30" s="57">
        <f t="shared" ref="EZ30:FA30" si="155">EZ29/108</f>
        <v>0.1111111111111111</v>
      </c>
      <c r="FA30" s="57">
        <f t="shared" si="155"/>
        <v>3.7037037037037035E-2</v>
      </c>
      <c r="FB30" s="57">
        <f t="shared" ref="FB30" si="156">FB29/108</f>
        <v>0.12962962962962962</v>
      </c>
      <c r="FC30" s="52"/>
      <c r="FD30" s="52"/>
      <c r="FE30" s="57">
        <f>AVERAGE(EX30:FB30)</f>
        <v>9.6296296296296297E-2</v>
      </c>
      <c r="FF30" s="52"/>
      <c r="FG30" s="52"/>
      <c r="FH30" s="57">
        <f t="shared" ref="FH30:FI30" si="157">FH29/108</f>
        <v>8.3333333333333329E-2</v>
      </c>
      <c r="FI30" s="57">
        <f t="shared" si="157"/>
        <v>9.2592592592592587E-2</v>
      </c>
      <c r="FJ30" s="57">
        <f t="shared" ref="FJ30" si="158">FJ29/108</f>
        <v>0.10185185185185185</v>
      </c>
      <c r="FK30" s="52"/>
      <c r="FL30" s="57">
        <f>AVERAGE(FE30:FI30)</f>
        <v>9.0740740740740747E-2</v>
      </c>
      <c r="FM30" s="57"/>
      <c r="FN30" s="57">
        <f t="shared" ref="FN30:FO30" si="159">FN29/108</f>
        <v>0.1111111111111111</v>
      </c>
      <c r="FO30" s="57">
        <f t="shared" si="159"/>
        <v>0.1388888888888889</v>
      </c>
      <c r="FP30" s="57">
        <f t="shared" ref="FP30:FQ30" si="160">FP29/108</f>
        <v>0.12962962962962962</v>
      </c>
      <c r="FQ30" s="57">
        <f t="shared" si="160"/>
        <v>0.1111111111111111</v>
      </c>
      <c r="FR30" s="52"/>
      <c r="FS30" s="52"/>
      <c r="FT30" s="57">
        <f>AVERAGE(FM30:FQ30)</f>
        <v>0.12268518518518519</v>
      </c>
      <c r="FU30" s="57">
        <f t="shared" ref="FU30:FV30" si="161">FU29/108</f>
        <v>6.4814814814814811E-2</v>
      </c>
      <c r="FV30" s="57">
        <f t="shared" si="161"/>
        <v>9.2592592592592587E-2</v>
      </c>
      <c r="FW30" s="57">
        <f t="shared" ref="FW30:FX30" si="162">FW29/108</f>
        <v>0.1111111111111111</v>
      </c>
      <c r="FX30" s="57">
        <f t="shared" si="162"/>
        <v>0.14814814814814814</v>
      </c>
      <c r="FY30" s="57">
        <f t="shared" ref="FY30" si="163">FY29/108</f>
        <v>0.18518518518518517</v>
      </c>
      <c r="FZ30" s="52"/>
      <c r="GA30" s="57">
        <f>AVERAGE(FT30:FX30)</f>
        <v>0.10787037037037037</v>
      </c>
      <c r="GB30" s="52"/>
      <c r="GC30" s="52"/>
      <c r="GD30" s="52"/>
      <c r="GE30" s="52"/>
      <c r="GF30" s="52"/>
      <c r="GG30" s="52"/>
      <c r="GH30" s="52"/>
      <c r="GI30" s="57">
        <f t="shared" ref="GI30:GJ30" si="164">GI29/108</f>
        <v>7.407407407407407E-2</v>
      </c>
      <c r="GJ30" s="57">
        <f t="shared" si="164"/>
        <v>0.15740740740740741</v>
      </c>
      <c r="GK30" s="57">
        <f t="shared" ref="GK30:GL30" si="165">GK29/108</f>
        <v>0.10185185185185185</v>
      </c>
      <c r="GL30" s="57">
        <f t="shared" si="165"/>
        <v>0.14814814814814814</v>
      </c>
      <c r="GM30" s="57">
        <f t="shared" ref="GM30" si="166">GM29/108</f>
        <v>0.12962962962962962</v>
      </c>
      <c r="GN30" s="52"/>
      <c r="GO30" s="57">
        <f>AVERAGE(GH30:GL30)</f>
        <v>0.12037037037037036</v>
      </c>
      <c r="GP30" s="57"/>
      <c r="GQ30" s="57">
        <f>+AVERAGE(GQ19,GQ8)</f>
        <v>0.17391304347826086</v>
      </c>
      <c r="GR30" s="57">
        <f>+AVERAGE(GR19,GR8)</f>
        <v>0.15124884366327473</v>
      </c>
      <c r="GS30" s="114">
        <f>+AVERAGE(GS19,GS8)</f>
        <v>0.13043478260869565</v>
      </c>
      <c r="GT30" s="114">
        <f>+AVERAGE(GT19,GT8)</f>
        <v>0.16142460684551341</v>
      </c>
      <c r="GU30" s="183"/>
      <c r="GV30" s="183"/>
      <c r="GW30" s="204">
        <f>AVERAGE(GP30:GT30)</f>
        <v>0.15425531914893617</v>
      </c>
      <c r="GX30" s="232">
        <f>+AVERAGE(GX19,GX8)</f>
        <v>0.15217391304347827</v>
      </c>
      <c r="GY30" s="114">
        <f>+AVERAGE(GY19,GY8)</f>
        <v>0.16304347826086957</v>
      </c>
      <c r="GZ30" s="114">
        <f>+AVERAGE(GZ19,GZ8)</f>
        <v>0.20467160037002774</v>
      </c>
      <c r="HA30" s="114">
        <f>+AVERAGE(HA19,HA8)</f>
        <v>0.19310823311748382</v>
      </c>
      <c r="HB30" s="183"/>
      <c r="HC30" s="183"/>
      <c r="HD30" s="233">
        <f>AVERAGE(GW30:HA30)</f>
        <v>0.17345050878815912</v>
      </c>
      <c r="HE30" s="232">
        <f>+AVERAGE(HE19,HE8)</f>
        <v>0.10526315789473684</v>
      </c>
      <c r="HF30" s="297">
        <f>+AVERAGE(HF19,HF8)</f>
        <v>0.18321513002364065</v>
      </c>
      <c r="HG30" s="297">
        <f>+AVERAGE(HG19,HG8)</f>
        <v>0.22813238770685579</v>
      </c>
      <c r="HH30" s="297">
        <f>+AVERAGE(HH19,HH8)</f>
        <v>0.21702127659574469</v>
      </c>
      <c r="HI30" s="297">
        <f>+AVERAGE(HI19,HI8)</f>
        <v>0.26004728132387706</v>
      </c>
      <c r="HJ30" s="183"/>
      <c r="HK30" s="184"/>
    </row>
    <row r="31" spans="1:219" s="70" customFormat="1" ht="19.5" thickBot="1" x14ac:dyDescent="0.35">
      <c r="A31" s="6"/>
      <c r="B31" s="323"/>
      <c r="C31" s="124" t="s">
        <v>86</v>
      </c>
      <c r="D31" s="161"/>
      <c r="E31" s="62"/>
      <c r="F31" s="62"/>
      <c r="G31" s="62"/>
      <c r="H31" s="62"/>
      <c r="I31" s="62"/>
      <c r="J31" s="62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6">
        <f t="shared" ref="BO31:BT31" si="167">+BO9+BO20</f>
        <v>60</v>
      </c>
      <c r="BP31" s="56">
        <f t="shared" si="167"/>
        <v>65</v>
      </c>
      <c r="BQ31" s="56">
        <f t="shared" si="167"/>
        <v>80</v>
      </c>
      <c r="BR31" s="56">
        <f t="shared" si="167"/>
        <v>57</v>
      </c>
      <c r="BS31" s="56">
        <f t="shared" si="167"/>
        <v>84</v>
      </c>
      <c r="BT31" s="56">
        <f t="shared" si="167"/>
        <v>18</v>
      </c>
      <c r="BU31" s="53">
        <f>BO31+BP31+BQ31+BR31+BS31+BT31</f>
        <v>364</v>
      </c>
      <c r="BV31" s="53">
        <f t="shared" ref="BV31:CA31" si="168">+BV9+BV20</f>
        <v>82</v>
      </c>
      <c r="BW31" s="53">
        <f t="shared" si="168"/>
        <v>74</v>
      </c>
      <c r="BX31" s="53">
        <f t="shared" si="168"/>
        <v>55</v>
      </c>
      <c r="BY31" s="53">
        <f t="shared" si="168"/>
        <v>84</v>
      </c>
      <c r="BZ31" s="53">
        <f t="shared" si="168"/>
        <v>69</v>
      </c>
      <c r="CA31" s="53">
        <f t="shared" si="168"/>
        <v>34</v>
      </c>
      <c r="CB31" s="53">
        <f>BV31+BW31+BX31+BY31+BZ31+CA31</f>
        <v>398</v>
      </c>
      <c r="CC31" s="53">
        <f t="shared" ref="CC31:CH31" si="169">+CC9+CC20</f>
        <v>110</v>
      </c>
      <c r="CD31" s="53">
        <f t="shared" si="169"/>
        <v>100</v>
      </c>
      <c r="CE31" s="53">
        <f t="shared" si="169"/>
        <v>100</v>
      </c>
      <c r="CF31" s="53">
        <f t="shared" si="169"/>
        <v>96</v>
      </c>
      <c r="CG31" s="53">
        <f t="shared" si="169"/>
        <v>112</v>
      </c>
      <c r="CH31" s="53">
        <f t="shared" si="169"/>
        <v>66</v>
      </c>
      <c r="CI31" s="53">
        <f>CC31+CD31+CE31+CF31+CG31+CH31</f>
        <v>584</v>
      </c>
      <c r="CJ31" s="53">
        <f t="shared" ref="CJ31:CO31" si="170">+CJ9+CJ20</f>
        <v>97</v>
      </c>
      <c r="CK31" s="53">
        <f t="shared" si="170"/>
        <v>100</v>
      </c>
      <c r="CL31" s="53">
        <f t="shared" si="170"/>
        <v>113</v>
      </c>
      <c r="CM31" s="53">
        <f t="shared" si="170"/>
        <v>86</v>
      </c>
      <c r="CN31" s="53">
        <f t="shared" si="170"/>
        <v>75</v>
      </c>
      <c r="CO31" s="53">
        <f t="shared" si="170"/>
        <v>23</v>
      </c>
      <c r="CP31" s="53">
        <f>CJ31+CK31+CL31+CM31+CN31+CO31</f>
        <v>494</v>
      </c>
      <c r="CQ31" s="53">
        <f>+CQ9+CQ20</f>
        <v>85</v>
      </c>
      <c r="CR31" s="53">
        <f>+CR9+CR20</f>
        <v>82</v>
      </c>
      <c r="CS31" s="53">
        <f>+CS9+CS20</f>
        <v>91</v>
      </c>
      <c r="CT31" s="53">
        <f>+CT9+CT20</f>
        <v>87</v>
      </c>
      <c r="CU31" s="53">
        <f>+CU9+CU20</f>
        <v>78</v>
      </c>
      <c r="CV31" s="52"/>
      <c r="CW31" s="53">
        <f>CQ31+CR31+CS31+CT31+CU31+CV31</f>
        <v>423</v>
      </c>
      <c r="CX31" s="53"/>
      <c r="CY31" s="87">
        <f>+CY9+CY20</f>
        <v>78</v>
      </c>
      <c r="CZ31" s="87">
        <f>+CZ9+CZ20</f>
        <v>90</v>
      </c>
      <c r="DA31" s="87">
        <f>+DA9+DA20</f>
        <v>98</v>
      </c>
      <c r="DB31" s="87">
        <f>+DB9+DB20</f>
        <v>90</v>
      </c>
      <c r="DC31" s="88"/>
      <c r="DD31" s="87">
        <f>CX31+CY31+CZ31+DA31+DB31+DC31</f>
        <v>356</v>
      </c>
      <c r="DE31" s="87">
        <f>+DE9+DE20</f>
        <v>82</v>
      </c>
      <c r="DF31" s="87">
        <f>+DF9+DF20</f>
        <v>89</v>
      </c>
      <c r="DG31" s="87">
        <f>+DG9+DG20</f>
        <v>66</v>
      </c>
      <c r="DH31" s="87">
        <f>+DH9+DH20</f>
        <v>97</v>
      </c>
      <c r="DI31" s="87">
        <f>+DI9+DI20</f>
        <v>74</v>
      </c>
      <c r="DJ31" s="87"/>
      <c r="DK31" s="87">
        <f>DE31+DF31+DG31+DH31+DI31+DJ31</f>
        <v>408</v>
      </c>
      <c r="DL31" s="87">
        <f>+DL9+DL20</f>
        <v>87</v>
      </c>
      <c r="DM31" s="87">
        <f>+DM9+DM20</f>
        <v>77</v>
      </c>
      <c r="DN31" s="87">
        <f>+DN9+DN20</f>
        <v>72</v>
      </c>
      <c r="DO31" s="87">
        <f>+DO9+DO20</f>
        <v>63</v>
      </c>
      <c r="DP31" s="87">
        <f>+DP9+DP20</f>
        <v>56</v>
      </c>
      <c r="DQ31" s="52"/>
      <c r="DR31" s="87">
        <f>DL31+DM31+DN31+DO31+DP31+DQ31</f>
        <v>355</v>
      </c>
      <c r="DS31" s="87">
        <f>+DS9+DS20</f>
        <v>86</v>
      </c>
      <c r="DT31" s="87">
        <f>+DT9+DT20</f>
        <v>73</v>
      </c>
      <c r="DU31" s="87">
        <f>+DU9+DU20</f>
        <v>76</v>
      </c>
      <c r="DV31" s="87">
        <f>+DV9+DV20</f>
        <v>67</v>
      </c>
      <c r="DW31" s="52"/>
      <c r="DX31" s="52"/>
      <c r="DY31" s="87">
        <f>DS31+DT31+DU31+DV31+DW31+DX31</f>
        <v>302</v>
      </c>
      <c r="DZ31" s="87">
        <f>+DZ9+DZ20</f>
        <v>81</v>
      </c>
      <c r="EA31" s="87">
        <f>+EA9+EA20</f>
        <v>59</v>
      </c>
      <c r="EB31" s="87">
        <f>+EB9+EB20</f>
        <v>50</v>
      </c>
      <c r="EC31" s="87">
        <f>+EC9+EC20</f>
        <v>38</v>
      </c>
      <c r="ED31" s="87">
        <f>+ED9+ED20</f>
        <v>62</v>
      </c>
      <c r="EE31" s="52"/>
      <c r="EF31" s="52"/>
      <c r="EG31" s="87">
        <f>DZ31+EA31+EB31+EC31+ED31+EE31</f>
        <v>290</v>
      </c>
      <c r="EH31" s="87">
        <f>+EH9+EH20</f>
        <v>65</v>
      </c>
      <c r="EI31" s="87">
        <f>+EI9+EI20</f>
        <v>58</v>
      </c>
      <c r="EJ31" s="87">
        <f>+EJ9+EJ20</f>
        <v>47</v>
      </c>
      <c r="EK31" s="87">
        <f>+EK9+EK20</f>
        <v>54</v>
      </c>
      <c r="EL31" s="87">
        <f>+EL9+EL20</f>
        <v>52</v>
      </c>
      <c r="EM31" s="52"/>
      <c r="EN31" s="52"/>
      <c r="EO31" s="87">
        <f>EI31+EJ31+EK31+EL31+EM31+EN31+EH31</f>
        <v>276</v>
      </c>
      <c r="EP31" s="87">
        <f>+EP9+EP20</f>
        <v>68</v>
      </c>
      <c r="EQ31" s="87">
        <f>+EQ9+EQ20</f>
        <v>45</v>
      </c>
      <c r="ER31" s="87">
        <f>+ER9+ER20</f>
        <v>65</v>
      </c>
      <c r="ES31" s="87">
        <f>+ES9+ES20</f>
        <v>54</v>
      </c>
      <c r="ET31" s="87">
        <f>+ET9+ET20</f>
        <v>60</v>
      </c>
      <c r="EU31" s="52"/>
      <c r="EV31" s="52"/>
      <c r="EW31" s="87">
        <f>EQ31+ER31+ES31+ET31+EU31+EV31+EP31</f>
        <v>292</v>
      </c>
      <c r="EX31" s="87">
        <f>+EX9+EX20</f>
        <v>49</v>
      </c>
      <c r="EY31" s="87">
        <f>+EY9+EY20</f>
        <v>30</v>
      </c>
      <c r="EZ31" s="87">
        <f>+EZ9+EZ20</f>
        <v>45</v>
      </c>
      <c r="FA31" s="87">
        <f>+FA9+FA20</f>
        <v>24</v>
      </c>
      <c r="FB31" s="87">
        <f>+FB9+FB20</f>
        <v>65</v>
      </c>
      <c r="FC31" s="52"/>
      <c r="FD31" s="52"/>
      <c r="FE31" s="87">
        <f>EY31+EZ31+FA31+FB31+FC31+FD31+EX31</f>
        <v>213</v>
      </c>
      <c r="FF31" s="52"/>
      <c r="FG31" s="52"/>
      <c r="FH31" s="87">
        <f>+FH9+FH20</f>
        <v>56</v>
      </c>
      <c r="FI31" s="87">
        <f>+FI9+FI20</f>
        <v>54</v>
      </c>
      <c r="FJ31" s="87">
        <f>+FJ9+FJ20</f>
        <v>56</v>
      </c>
      <c r="FK31" s="52"/>
      <c r="FL31" s="87">
        <f>FF31+FG31+FH31+FI31+FJ31+FK31</f>
        <v>166</v>
      </c>
      <c r="FM31" s="87"/>
      <c r="FN31" s="87">
        <f>+FN9+FN20</f>
        <v>84</v>
      </c>
      <c r="FO31" s="87">
        <f>+FO9+FO20</f>
        <v>85</v>
      </c>
      <c r="FP31" s="87">
        <f>+FP9+FP20</f>
        <v>89</v>
      </c>
      <c r="FQ31" s="87">
        <f>+FQ9+FQ20</f>
        <v>63</v>
      </c>
      <c r="FR31" s="52"/>
      <c r="FS31" s="52"/>
      <c r="FT31" s="87">
        <f>FM31+FN31+FO31+FP31+FQ31+FR31</f>
        <v>321</v>
      </c>
      <c r="FU31" s="87">
        <f>+FU9+FU20</f>
        <v>68</v>
      </c>
      <c r="FV31" s="87">
        <f>+FV9+FV20</f>
        <v>50</v>
      </c>
      <c r="FW31" s="87">
        <f>+FW9+FW20</f>
        <v>68</v>
      </c>
      <c r="FX31" s="87">
        <f>+FX9+FX20</f>
        <v>56</v>
      </c>
      <c r="FY31" s="87">
        <f>+FY9+FY20</f>
        <v>64</v>
      </c>
      <c r="FZ31" s="52"/>
      <c r="GA31" s="87">
        <f>FU31+FV31+FW31+FX31+FY31+FZ31</f>
        <v>306</v>
      </c>
      <c r="GB31" s="52"/>
      <c r="GC31" s="52"/>
      <c r="GD31" s="52"/>
      <c r="GE31" s="52"/>
      <c r="GF31" s="52"/>
      <c r="GG31" s="52"/>
      <c r="GH31" s="52"/>
      <c r="GI31" s="87">
        <f>+GI9+GI20</f>
        <v>29</v>
      </c>
      <c r="GJ31" s="87">
        <f>+GJ9+GJ20</f>
        <v>68</v>
      </c>
      <c r="GK31" s="87">
        <f>+GK9+GK20</f>
        <v>68</v>
      </c>
      <c r="GL31" s="87">
        <f>+GL9+GL20</f>
        <v>79</v>
      </c>
      <c r="GM31" s="87">
        <f>+GM9+GM20</f>
        <v>90</v>
      </c>
      <c r="GN31" s="52"/>
      <c r="GO31" s="87">
        <f>GI31+GJ31+GK31+GL31+GM31+GN31</f>
        <v>334</v>
      </c>
      <c r="GP31" s="87"/>
      <c r="GQ31" s="87">
        <f>+GQ9+GQ20</f>
        <v>40</v>
      </c>
      <c r="GR31" s="87">
        <f>+GR9+GR20</f>
        <v>75</v>
      </c>
      <c r="GS31" s="185">
        <f>+GS9+GS20</f>
        <v>83</v>
      </c>
      <c r="GT31" s="185">
        <f>+GT9+GT20</f>
        <v>78</v>
      </c>
      <c r="GU31" s="183"/>
      <c r="GV31" s="183"/>
      <c r="GW31" s="205">
        <f>GQ31+GR31+GS31+GT31+GU31+GV31</f>
        <v>276</v>
      </c>
      <c r="GX31" s="234">
        <f>+GX9+GX20</f>
        <v>57</v>
      </c>
      <c r="GY31" s="185">
        <f>+GY9+GY20</f>
        <v>77</v>
      </c>
      <c r="GZ31" s="185">
        <f>+GZ9+GZ20</f>
        <v>70</v>
      </c>
      <c r="HA31" s="185">
        <f>+HA9+HA20</f>
        <v>81</v>
      </c>
      <c r="HB31" s="183"/>
      <c r="HC31" s="183"/>
      <c r="HD31" s="235">
        <f>GX31+GY31+GZ31+HA31+HB31+HC31</f>
        <v>285</v>
      </c>
      <c r="HE31" s="234">
        <f>+HE9+HE20</f>
        <v>17</v>
      </c>
      <c r="HF31" s="298">
        <f>+HF9+HF20</f>
        <v>72</v>
      </c>
      <c r="HG31" s="298">
        <f>+HG9+HG20</f>
        <v>82</v>
      </c>
      <c r="HH31" s="298">
        <f>+HH9+HH20</f>
        <v>76</v>
      </c>
      <c r="HI31" s="298">
        <f>+HI9+HI20</f>
        <v>76</v>
      </c>
      <c r="HJ31" s="183"/>
      <c r="HK31" s="184"/>
    </row>
    <row r="32" spans="1:219" s="70" customFormat="1" ht="19.5" thickBot="1" x14ac:dyDescent="0.35">
      <c r="A32" s="6"/>
      <c r="B32" s="323"/>
      <c r="C32" s="124" t="s">
        <v>88</v>
      </c>
      <c r="D32" s="161"/>
      <c r="E32" s="62"/>
      <c r="F32" s="62"/>
      <c r="G32" s="62"/>
      <c r="H32" s="62"/>
      <c r="I32" s="62"/>
      <c r="J32" s="62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7">
        <f>BO31/BO25</f>
        <v>0.26431718061674009</v>
      </c>
      <c r="BP32" s="57">
        <f t="shared" ref="BP32:BT32" si="171">BP31/BP25</f>
        <v>0.26970954356846472</v>
      </c>
      <c r="BQ32" s="57">
        <f t="shared" si="171"/>
        <v>0.32520325203252032</v>
      </c>
      <c r="BR32" s="57">
        <f t="shared" si="171"/>
        <v>0.26760563380281688</v>
      </c>
      <c r="BS32" s="57">
        <f t="shared" si="171"/>
        <v>0.3559322033898305</v>
      </c>
      <c r="BT32" s="57">
        <f t="shared" si="171"/>
        <v>0.32727272727272727</v>
      </c>
      <c r="BU32" s="114">
        <f>BU31/BU26</f>
        <v>0.29762878168438267</v>
      </c>
      <c r="BV32" s="57">
        <f t="shared" ref="BV32:CA32" si="172">BV31/BV25</f>
        <v>0.32539682539682541</v>
      </c>
      <c r="BW32" s="57">
        <f t="shared" si="172"/>
        <v>0.30452674897119342</v>
      </c>
      <c r="BX32" s="57">
        <f t="shared" si="172"/>
        <v>0.24017467248908297</v>
      </c>
      <c r="BY32" s="57">
        <f t="shared" si="172"/>
        <v>0.3193916349809886</v>
      </c>
      <c r="BZ32" s="57">
        <f t="shared" si="172"/>
        <v>0.25</v>
      </c>
      <c r="CA32" s="57">
        <f t="shared" si="172"/>
        <v>0.28099173553719009</v>
      </c>
      <c r="CB32" s="114">
        <f>CB31/CB26</f>
        <v>0.28861493836113128</v>
      </c>
      <c r="CC32" s="57">
        <f t="shared" ref="CC32:CD32" si="173">CC31/CC25</f>
        <v>0.3536977491961415</v>
      </c>
      <c r="CD32" s="57">
        <f t="shared" si="173"/>
        <v>0.28490028490028491</v>
      </c>
      <c r="CE32" s="57">
        <f t="shared" ref="CE32:CF32" si="174">CE31/CE25</f>
        <v>0.3401360544217687</v>
      </c>
      <c r="CF32" s="57">
        <f t="shared" si="174"/>
        <v>0.28235294117647058</v>
      </c>
      <c r="CG32" s="57">
        <f t="shared" ref="CG32:CH32" si="175">CG31/CG25</f>
        <v>0.36363636363636365</v>
      </c>
      <c r="CH32" s="57">
        <f t="shared" si="175"/>
        <v>0.25</v>
      </c>
      <c r="CI32" s="114">
        <f>CI31/CI26</f>
        <v>0.31296891747052519</v>
      </c>
      <c r="CJ32" s="57">
        <f t="shared" ref="CJ32:CK32" si="176">CJ31/CJ25</f>
        <v>0.27714285714285714</v>
      </c>
      <c r="CK32" s="57">
        <f t="shared" si="176"/>
        <v>0.24630541871921183</v>
      </c>
      <c r="CL32" s="57">
        <f t="shared" ref="CL32:CM32" si="177">CL31/CL25</f>
        <v>0.26340326340326342</v>
      </c>
      <c r="CM32" s="57">
        <f t="shared" si="177"/>
        <v>0.20873786407766989</v>
      </c>
      <c r="CN32" s="57">
        <f t="shared" ref="CN32:CO32" si="178">CN31/CN25</f>
        <v>0.20604395604395603</v>
      </c>
      <c r="CO32" s="57">
        <f t="shared" si="178"/>
        <v>0.29487179487179488</v>
      </c>
      <c r="CP32" s="114">
        <f>CP31/CP26</f>
        <v>0.24334975369458128</v>
      </c>
      <c r="CQ32" s="57">
        <f t="shared" ref="CQ32:CR32" si="179">CQ31/CQ25</f>
        <v>0.21573604060913706</v>
      </c>
      <c r="CR32" s="57">
        <f t="shared" si="179"/>
        <v>0.20707070707070707</v>
      </c>
      <c r="CS32" s="57">
        <f t="shared" ref="CS32:CT32" si="180">CS31/CS25</f>
        <v>0.21411764705882352</v>
      </c>
      <c r="CT32" s="57">
        <f t="shared" si="180"/>
        <v>0.20422535211267606</v>
      </c>
      <c r="CU32" s="57">
        <f t="shared" ref="CU32" si="181">CU31/CU25</f>
        <v>0.19696969696969696</v>
      </c>
      <c r="CV32" s="52"/>
      <c r="CW32" s="114">
        <f>CW31/CW26</f>
        <v>0.20868278243709917</v>
      </c>
      <c r="CX32" s="57"/>
      <c r="CY32" s="57">
        <f t="shared" ref="CY32:CZ32" si="182">CY31/CY25</f>
        <v>0.19796954314720813</v>
      </c>
      <c r="CZ32" s="57">
        <f t="shared" si="182"/>
        <v>0.21276595744680851</v>
      </c>
      <c r="DA32" s="57">
        <f t="shared" ref="DA32:DB32" si="183">DA31/DA25</f>
        <v>0.26630434782608697</v>
      </c>
      <c r="DB32" s="57">
        <f t="shared" si="183"/>
        <v>0.23076923076923078</v>
      </c>
      <c r="DC32" s="88"/>
      <c r="DD32" s="57">
        <f>DD31/DD26</f>
        <v>0.21588841722255914</v>
      </c>
      <c r="DE32" s="57">
        <f>DE31/DE25</f>
        <v>0.22043010752688172</v>
      </c>
      <c r="DF32" s="57">
        <f>DF31/DF25</f>
        <v>0.23116883116883116</v>
      </c>
      <c r="DG32" s="57">
        <f>DG31/DG25</f>
        <v>0.19354838709677419</v>
      </c>
      <c r="DH32" s="57">
        <f>DH31/DH25</f>
        <v>0.23716381418092911</v>
      </c>
      <c r="DI32" s="57">
        <f>DI31/DI25</f>
        <v>0.18181818181818182</v>
      </c>
      <c r="DJ32" s="57"/>
      <c r="DK32" s="57">
        <f>DK31/DK26</f>
        <v>0.34842015371477369</v>
      </c>
      <c r="DL32" s="57">
        <f>DL31/DL25</f>
        <v>0.2196969696969697</v>
      </c>
      <c r="DM32" s="57">
        <f>DM31/DM25</f>
        <v>0.18826405867970661</v>
      </c>
      <c r="DN32" s="57">
        <f>DN31/DN25</f>
        <v>0.17349397590361446</v>
      </c>
      <c r="DO32" s="57">
        <f>DO31/DO25</f>
        <v>0.17260273972602741</v>
      </c>
      <c r="DP32" s="57">
        <f>DP31/DP25</f>
        <v>0.14545454545454545</v>
      </c>
      <c r="DQ32" s="52"/>
      <c r="DR32" s="57">
        <f>DR31/DR26</f>
        <v>0.17956499747091553</v>
      </c>
      <c r="DS32" s="57">
        <f>DS31/DS25</f>
        <v>0.2</v>
      </c>
      <c r="DT32" s="57">
        <f>DT31/DT25</f>
        <v>0.16976744186046511</v>
      </c>
      <c r="DU32" s="57">
        <f>DU31/DU25</f>
        <v>0.18181818181818182</v>
      </c>
      <c r="DV32" s="57">
        <f>DV31/DV25</f>
        <v>0.16067146282973621</v>
      </c>
      <c r="DW32" s="52"/>
      <c r="DX32" s="52"/>
      <c r="DY32" s="57">
        <f>DY31/DY26</f>
        <v>0.17796110783736005</v>
      </c>
      <c r="DZ32" s="57">
        <f>DZ31/DZ25</f>
        <v>0.19852941176470587</v>
      </c>
      <c r="EA32" s="57">
        <f>EA31/EA25</f>
        <v>0.14114832535885166</v>
      </c>
      <c r="EB32" s="57">
        <f>EB31/EB25</f>
        <v>0.12165450121654502</v>
      </c>
      <c r="EC32" s="57">
        <f>EC31/EC25</f>
        <v>9.2909535452322736E-2</v>
      </c>
      <c r="ED32" s="57">
        <f>ED31/ED25</f>
        <v>0.15938303341902313</v>
      </c>
      <c r="EE32" s="52"/>
      <c r="EF32" s="52"/>
      <c r="EG32" s="57">
        <f>EG31/EG26</f>
        <v>0.14292755051749631</v>
      </c>
      <c r="EH32" s="57">
        <f>EH31/EH25</f>
        <v>0.16209476309226933</v>
      </c>
      <c r="EI32" s="57">
        <f>EI31/EI25</f>
        <v>0.13744075829383887</v>
      </c>
      <c r="EJ32" s="57">
        <f>EJ31/EJ25</f>
        <v>0.11662531017369727</v>
      </c>
      <c r="EK32" s="57">
        <f>EK31/EK25</f>
        <v>0.13636363636363635</v>
      </c>
      <c r="EL32" s="57">
        <f>EL31/EL25</f>
        <v>0.12440191387559808</v>
      </c>
      <c r="EM32" s="52"/>
      <c r="EN32" s="52"/>
      <c r="EO32" s="57">
        <f>EO31/EO26</f>
        <v>0.13509544787077826</v>
      </c>
      <c r="EP32" s="57">
        <f>EP31/EP25</f>
        <v>0.17435897435897435</v>
      </c>
      <c r="EQ32" s="57">
        <f>EQ31/EQ25</f>
        <v>0.10843373493975904</v>
      </c>
      <c r="ER32" s="57">
        <f>ER31/ER25</f>
        <v>0.15513126491646778</v>
      </c>
      <c r="ES32" s="57">
        <f>ES31/ES25</f>
        <v>0.13235294117647059</v>
      </c>
      <c r="ET32" s="57">
        <f>ET31/ET25</f>
        <v>0.14285714285714285</v>
      </c>
      <c r="EU32" s="52"/>
      <c r="EV32" s="52"/>
      <c r="EW32" s="57">
        <f>EW31/EW26</f>
        <v>0.14167879670063077</v>
      </c>
      <c r="EX32" s="57">
        <f>EX31/EX25</f>
        <v>0.14000000000000001</v>
      </c>
      <c r="EY32" s="57">
        <f>EY31/EY25</f>
        <v>0.11538461538461539</v>
      </c>
      <c r="EZ32" s="57">
        <f>EZ31/EZ25</f>
        <v>0.140625</v>
      </c>
      <c r="FA32" s="57">
        <f>FA31/FA25</f>
        <v>0.15286624203821655</v>
      </c>
      <c r="FB32" s="57">
        <f>FB31/FB25</f>
        <v>0.17333333333333334</v>
      </c>
      <c r="FC32" s="52"/>
      <c r="FD32" s="52"/>
      <c r="FE32" s="57">
        <f>FE31/FE26</f>
        <v>0.14619080301990392</v>
      </c>
      <c r="FF32" s="52"/>
      <c r="FG32" s="52"/>
      <c r="FH32" s="57">
        <f>FH31/FH25</f>
        <v>0.16470588235294117</v>
      </c>
      <c r="FI32" s="57">
        <f>FI31/FI25</f>
        <v>0.15297450424929179</v>
      </c>
      <c r="FJ32" s="57">
        <f>FJ31/FJ25</f>
        <v>0.15819209039548024</v>
      </c>
      <c r="FK32" s="52"/>
      <c r="FL32" s="57">
        <f>FL31/FL26</f>
        <v>0.15779467680608364</v>
      </c>
      <c r="FM32" s="57"/>
      <c r="FN32" s="57">
        <f>FN31/FN25</f>
        <v>0.26837060702875398</v>
      </c>
      <c r="FO32" s="57">
        <f>FO31/FO25</f>
        <v>0.22666666666666666</v>
      </c>
      <c r="FP32" s="57">
        <f>FP31/FP25</f>
        <v>0.25</v>
      </c>
      <c r="FQ32" s="57">
        <f>FQ31/FQ25</f>
        <v>0.19626168224299065</v>
      </c>
      <c r="FR32" s="52"/>
      <c r="FS32" s="52"/>
      <c r="FT32" s="57">
        <f>FT31/FT26</f>
        <v>0.23516483516483516</v>
      </c>
      <c r="FU32" s="57">
        <f>FU31/FU25</f>
        <v>0.17801047120418848</v>
      </c>
      <c r="FV32" s="57">
        <f>FV31/FV25</f>
        <v>0.12853470437017994</v>
      </c>
      <c r="FW32" s="57">
        <f>FW31/FW25</f>
        <v>0.18181818181818182</v>
      </c>
      <c r="FX32" s="57">
        <f>FX31/FX25</f>
        <v>0.15176151761517614</v>
      </c>
      <c r="FY32" s="57">
        <f>FY31/FY25</f>
        <v>0.18181818181818182</v>
      </c>
      <c r="FZ32" s="52"/>
      <c r="GA32" s="57">
        <f>GA31/GA26</f>
        <v>0.16495956873315365</v>
      </c>
      <c r="GB32" s="52"/>
      <c r="GC32" s="52"/>
      <c r="GD32" s="52"/>
      <c r="GE32" s="52"/>
      <c r="GF32" s="52"/>
      <c r="GG32" s="52"/>
      <c r="GH32" s="52"/>
      <c r="GI32" s="57">
        <f t="shared" ref="GI32:GJ32" si="184">GI31/GI25</f>
        <v>0.39189189189189189</v>
      </c>
      <c r="GJ32" s="57">
        <f t="shared" si="184"/>
        <v>0.2073170731707317</v>
      </c>
      <c r="GK32" s="57">
        <f t="shared" ref="GK32:GL32" si="185">GK31/GK25</f>
        <v>0.19209039548022599</v>
      </c>
      <c r="GL32" s="57">
        <f t="shared" si="185"/>
        <v>0.24687500000000001</v>
      </c>
      <c r="GM32" s="57">
        <f t="shared" ref="GM32" si="186">GM31/GM25</f>
        <v>0.26627218934911245</v>
      </c>
      <c r="GN32" s="52"/>
      <c r="GO32" s="57">
        <f>GO31/GO26</f>
        <v>0.23604240282685512</v>
      </c>
      <c r="GP32" s="57"/>
      <c r="GQ32" s="57">
        <f t="shared" ref="GQ32:GR32" si="187">GQ31/GQ25</f>
        <v>0.27027027027027029</v>
      </c>
      <c r="GR32" s="57">
        <f t="shared" si="187"/>
        <v>0.23364485981308411</v>
      </c>
      <c r="GS32" s="114">
        <f t="shared" ref="GS32:GT32" si="188">GS31/GS25</f>
        <v>0.2643312101910828</v>
      </c>
      <c r="GT32" s="114">
        <f t="shared" si="188"/>
        <v>0.24528301886792453</v>
      </c>
      <c r="GU32" s="183"/>
      <c r="GV32" s="183"/>
      <c r="GW32" s="204">
        <f>GW31/GW26</f>
        <v>0.25045372050816694</v>
      </c>
      <c r="GX32" s="232">
        <f t="shared" ref="GX32:GY32" si="189">GX31/GX25</f>
        <v>0.3904109589041096</v>
      </c>
      <c r="GY32" s="114">
        <f t="shared" si="189"/>
        <v>0.25245901639344265</v>
      </c>
      <c r="GZ32" s="114">
        <f t="shared" ref="GZ32:HA32" si="190">GZ31/GZ25</f>
        <v>0.22364217252396165</v>
      </c>
      <c r="HA32" s="114">
        <f t="shared" si="190"/>
        <v>0.25632911392405061</v>
      </c>
      <c r="HB32" s="183"/>
      <c r="HC32" s="183"/>
      <c r="HD32" s="233">
        <f>HD31/HD26</f>
        <v>0.26413345690454126</v>
      </c>
      <c r="HE32" s="232">
        <f>HE31/HE26</f>
        <v>0.10559006211180125</v>
      </c>
      <c r="HF32" s="297">
        <f>HF31/HF26</f>
        <v>0.24161073825503357</v>
      </c>
      <c r="HG32" s="297">
        <f>HG31/HG26</f>
        <v>0.25308641975308643</v>
      </c>
      <c r="HH32" s="297">
        <f>HH31/HH26</f>
        <v>0.23974763406940064</v>
      </c>
      <c r="HI32" s="297">
        <f>HI31/HI26</f>
        <v>0.24836601307189543</v>
      </c>
      <c r="HJ32" s="183"/>
      <c r="HK32" s="184"/>
    </row>
    <row r="33" spans="1:219" s="70" customFormat="1" ht="19.5" thickBot="1" x14ac:dyDescent="0.35">
      <c r="A33" s="6"/>
      <c r="B33" s="323"/>
      <c r="C33" s="124" t="s">
        <v>107</v>
      </c>
      <c r="D33" s="161"/>
      <c r="E33" s="62"/>
      <c r="F33" s="62"/>
      <c r="G33" s="62"/>
      <c r="H33" s="62"/>
      <c r="I33" s="62"/>
      <c r="J33" s="62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164"/>
      <c r="BP33" s="164"/>
      <c r="BQ33" s="164"/>
      <c r="BR33" s="164"/>
      <c r="BS33" s="164"/>
      <c r="BT33" s="164">
        <v>4</v>
      </c>
      <c r="BU33" s="165"/>
      <c r="BV33" s="164"/>
      <c r="BW33" s="164">
        <f>+(2*1)</f>
        <v>2</v>
      </c>
      <c r="BX33" s="164">
        <f>+(3*2)</f>
        <v>6</v>
      </c>
      <c r="BY33" s="164">
        <f>+(5*2)+(3*1)</f>
        <v>13</v>
      </c>
      <c r="BZ33" s="164">
        <f>+(4*2)+(2*1)</f>
        <v>10</v>
      </c>
      <c r="CA33" s="164">
        <f>45*6</f>
        <v>270</v>
      </c>
      <c r="CB33" s="165">
        <f>+SUM(BV33:CA33)</f>
        <v>301</v>
      </c>
      <c r="CC33" s="165"/>
      <c r="CD33" s="166">
        <f>AVERAGE(CD11,CD22)</f>
        <v>0.24062500000000001</v>
      </c>
      <c r="CE33" s="166">
        <f>AVERAGE(CE11,CE22)</f>
        <v>4.0798611111111112E-2</v>
      </c>
      <c r="CF33" s="166">
        <f>AVERAGE(CF11,CF22)</f>
        <v>5.1388888888888887E-2</v>
      </c>
      <c r="CG33" s="166">
        <f>AVERAGE(CG11,CG22)</f>
        <v>5.1388888888888887E-2</v>
      </c>
      <c r="CH33" s="166"/>
      <c r="CI33" s="114">
        <v>0.1</v>
      </c>
      <c r="CJ33" s="167">
        <f t="shared" ref="CJ33:CN33" si="191">+(CJ11+CJ22)/2</f>
        <v>0</v>
      </c>
      <c r="CK33" s="167">
        <f t="shared" si="191"/>
        <v>0.10262887818741612</v>
      </c>
      <c r="CL33" s="167">
        <f t="shared" si="191"/>
        <v>0.107284626113078</v>
      </c>
      <c r="CM33" s="167">
        <f t="shared" si="191"/>
        <v>0.1126488574187319</v>
      </c>
      <c r="CN33" s="167">
        <f t="shared" si="191"/>
        <v>0</v>
      </c>
      <c r="CO33" s="167">
        <f>+(CO11+CO22)/2</f>
        <v>0</v>
      </c>
      <c r="CP33" s="114">
        <v>0.11</v>
      </c>
      <c r="CQ33" s="167">
        <f>+(CQ11+CQ22)/2</f>
        <v>0</v>
      </c>
      <c r="CR33" s="167">
        <f>+(CR11+CR22)/2</f>
        <v>1.1111111111111112E-2</v>
      </c>
      <c r="CS33" s="167">
        <f>+(CS11+CS22)/2</f>
        <v>8.8145896656534953E-2</v>
      </c>
      <c r="CT33" s="167">
        <f>+(CT11+CT22)/2</f>
        <v>8.8145896656534953E-2</v>
      </c>
      <c r="CU33" s="167">
        <f>+(CU11+CU22)/2</f>
        <v>0</v>
      </c>
      <c r="CV33" s="52"/>
      <c r="CW33" s="114">
        <v>0.11</v>
      </c>
      <c r="CX33" s="167"/>
      <c r="CY33" s="167"/>
      <c r="CZ33" s="167"/>
      <c r="DA33" s="167"/>
      <c r="DB33" s="167"/>
      <c r="DC33" s="52"/>
      <c r="DD33" s="114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114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115">
        <v>2.7E-2</v>
      </c>
      <c r="EH33" s="52"/>
      <c r="EI33" s="52"/>
      <c r="EJ33" s="52"/>
      <c r="EK33" s="52"/>
      <c r="EL33" s="52"/>
      <c r="EM33" s="52"/>
      <c r="EN33" s="52"/>
      <c r="EO33" s="115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116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183"/>
      <c r="GT33" s="183"/>
      <c r="GU33" s="183"/>
      <c r="GV33" s="183"/>
      <c r="GW33" s="206"/>
      <c r="GX33" s="236">
        <f t="shared" ref="GX33:GY33" si="192">+AVERAGE(GX22,GX11)</f>
        <v>0</v>
      </c>
      <c r="GY33" s="189">
        <f t="shared" si="192"/>
        <v>0</v>
      </c>
      <c r="GZ33" s="189">
        <f>+AVERAGE(GZ22,GZ11)</f>
        <v>2.3214285714285715E-2</v>
      </c>
      <c r="HA33" s="189">
        <f>+AVERAGE(HA22,HA11)</f>
        <v>1.4285714285714285E-2</v>
      </c>
      <c r="HB33" s="183"/>
      <c r="HC33" s="183"/>
      <c r="HD33" s="184"/>
      <c r="HE33" s="189"/>
      <c r="HF33" s="183"/>
      <c r="HG33" s="183"/>
      <c r="HH33" s="183"/>
      <c r="HI33" s="183"/>
      <c r="HJ33" s="183"/>
      <c r="HK33" s="184"/>
    </row>
    <row r="34" spans="1:219" s="70" customFormat="1" ht="19.5" thickBot="1" x14ac:dyDescent="0.35">
      <c r="A34" s="6"/>
      <c r="B34" s="323"/>
      <c r="C34" s="111" t="s">
        <v>179</v>
      </c>
      <c r="D34" s="161"/>
      <c r="E34" s="62"/>
      <c r="F34" s="62"/>
      <c r="G34" s="62"/>
      <c r="H34" s="62"/>
      <c r="I34" s="62"/>
      <c r="J34" s="62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164"/>
      <c r="BP34" s="164"/>
      <c r="BQ34" s="164"/>
      <c r="BR34" s="164"/>
      <c r="BS34" s="164"/>
      <c r="BT34" s="164"/>
      <c r="BU34" s="165"/>
      <c r="BV34" s="164"/>
      <c r="BW34" s="164"/>
      <c r="BX34" s="164"/>
      <c r="BY34" s="164"/>
      <c r="BZ34" s="164"/>
      <c r="CA34" s="164"/>
      <c r="CB34" s="165"/>
      <c r="CC34" s="165"/>
      <c r="CD34" s="166"/>
      <c r="CE34" s="166"/>
      <c r="CF34" s="166"/>
      <c r="CG34" s="166"/>
      <c r="CH34" s="166"/>
      <c r="CI34" s="114"/>
      <c r="CJ34" s="167"/>
      <c r="CK34" s="167"/>
      <c r="CL34" s="167"/>
      <c r="CM34" s="167"/>
      <c r="CN34" s="167"/>
      <c r="CO34" s="167"/>
      <c r="CP34" s="114"/>
      <c r="CQ34" s="167"/>
      <c r="CR34" s="167"/>
      <c r="CS34" s="167"/>
      <c r="CT34" s="167"/>
      <c r="CU34" s="167"/>
      <c r="CV34" s="52"/>
      <c r="CW34" s="114"/>
      <c r="CX34" s="167"/>
      <c r="CY34" s="167"/>
      <c r="CZ34" s="167"/>
      <c r="DA34" s="167"/>
      <c r="DB34" s="167"/>
      <c r="DC34" s="52"/>
      <c r="DD34" s="114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114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115"/>
      <c r="EH34" s="52"/>
      <c r="EI34" s="52"/>
      <c r="EJ34" s="52"/>
      <c r="EK34" s="52"/>
      <c r="EL34" s="52"/>
      <c r="EM34" s="52"/>
      <c r="EN34" s="52"/>
      <c r="EO34" s="115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116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>
        <f>SUM(GQ23)</f>
        <v>126</v>
      </c>
      <c r="GR34" s="52">
        <f t="shared" ref="GR34:GT34" si="193">SUM(GR23)</f>
        <v>129</v>
      </c>
      <c r="GS34" s="186">
        <f t="shared" si="193"/>
        <v>74</v>
      </c>
      <c r="GT34" s="186">
        <f t="shared" si="193"/>
        <v>61</v>
      </c>
      <c r="GU34" s="186"/>
      <c r="GV34" s="186"/>
      <c r="GW34" s="207"/>
      <c r="GX34" s="237">
        <f>SUM(GX12-GX23)</f>
        <v>142</v>
      </c>
      <c r="GY34" s="188">
        <f>GY23</f>
        <v>102</v>
      </c>
      <c r="GZ34" s="188">
        <f>GZ23</f>
        <v>62</v>
      </c>
      <c r="HA34" s="188">
        <f>HA23</f>
        <v>24</v>
      </c>
      <c r="HB34" s="186"/>
      <c r="HC34" s="186"/>
      <c r="HD34" s="187">
        <v>24</v>
      </c>
      <c r="HE34" s="188">
        <v>160</v>
      </c>
      <c r="HF34" s="186">
        <f>SUM(HF23)</f>
        <v>138</v>
      </c>
      <c r="HG34" s="186">
        <f>SUM(HG23)</f>
        <v>24</v>
      </c>
      <c r="HH34" s="186">
        <f>SUM(HH23)</f>
        <v>16</v>
      </c>
      <c r="HI34" s="186">
        <f>SUM(HI23)</f>
        <v>9</v>
      </c>
      <c r="HJ34" s="186"/>
      <c r="HK34" s="187"/>
    </row>
    <row r="35" spans="1:219" s="70" customFormat="1" ht="19.5" thickBot="1" x14ac:dyDescent="0.35">
      <c r="A35" s="6"/>
      <c r="B35" s="323"/>
      <c r="C35" s="112" t="s">
        <v>189</v>
      </c>
      <c r="D35" s="272"/>
      <c r="E35" s="273"/>
      <c r="F35" s="273"/>
      <c r="G35" s="273"/>
      <c r="H35" s="273"/>
      <c r="I35" s="273"/>
      <c r="J35" s="273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5"/>
      <c r="BP35" s="275"/>
      <c r="BQ35" s="275"/>
      <c r="BR35" s="275"/>
      <c r="BS35" s="275"/>
      <c r="BT35" s="275"/>
      <c r="BU35" s="276"/>
      <c r="BV35" s="275"/>
      <c r="BW35" s="275"/>
      <c r="BX35" s="275"/>
      <c r="BY35" s="275"/>
      <c r="BZ35" s="275"/>
      <c r="CA35" s="275"/>
      <c r="CB35" s="276"/>
      <c r="CC35" s="276"/>
      <c r="CD35" s="277"/>
      <c r="CE35" s="277"/>
      <c r="CF35" s="277"/>
      <c r="CG35" s="277"/>
      <c r="CH35" s="277"/>
      <c r="CI35" s="246"/>
      <c r="CJ35" s="278"/>
      <c r="CK35" s="278"/>
      <c r="CL35" s="278"/>
      <c r="CM35" s="278"/>
      <c r="CN35" s="278"/>
      <c r="CO35" s="278"/>
      <c r="CP35" s="246"/>
      <c r="CQ35" s="278"/>
      <c r="CR35" s="278"/>
      <c r="CS35" s="278"/>
      <c r="CT35" s="278"/>
      <c r="CU35" s="278"/>
      <c r="CV35" s="279"/>
      <c r="CW35" s="246"/>
      <c r="CX35" s="278"/>
      <c r="CY35" s="278"/>
      <c r="CZ35" s="278"/>
      <c r="DA35" s="278"/>
      <c r="DB35" s="278"/>
      <c r="DC35" s="279"/>
      <c r="DD35" s="246"/>
      <c r="DE35" s="279"/>
      <c r="DF35" s="279"/>
      <c r="DG35" s="279"/>
      <c r="DH35" s="279"/>
      <c r="DI35" s="279"/>
      <c r="DJ35" s="279"/>
      <c r="DK35" s="279"/>
      <c r="DL35" s="279"/>
      <c r="DM35" s="279"/>
      <c r="DN35" s="279"/>
      <c r="DO35" s="279"/>
      <c r="DP35" s="279"/>
      <c r="DQ35" s="279"/>
      <c r="DR35" s="246"/>
      <c r="DS35" s="279"/>
      <c r="DT35" s="279"/>
      <c r="DU35" s="279"/>
      <c r="DV35" s="279"/>
      <c r="DW35" s="279"/>
      <c r="DX35" s="279"/>
      <c r="DY35" s="279"/>
      <c r="DZ35" s="279"/>
      <c r="EA35" s="279"/>
      <c r="EB35" s="279"/>
      <c r="EC35" s="279"/>
      <c r="ED35" s="279"/>
      <c r="EE35" s="279"/>
      <c r="EF35" s="279"/>
      <c r="EG35" s="254"/>
      <c r="EH35" s="279"/>
      <c r="EI35" s="279"/>
      <c r="EJ35" s="279"/>
      <c r="EK35" s="279"/>
      <c r="EL35" s="279"/>
      <c r="EM35" s="279"/>
      <c r="EN35" s="279"/>
      <c r="EO35" s="254"/>
      <c r="EP35" s="279"/>
      <c r="EQ35" s="279"/>
      <c r="ER35" s="279"/>
      <c r="ES35" s="279"/>
      <c r="ET35" s="279"/>
      <c r="EU35" s="279"/>
      <c r="EV35" s="279"/>
      <c r="EW35" s="279"/>
      <c r="EX35" s="279"/>
      <c r="EY35" s="279"/>
      <c r="EZ35" s="279"/>
      <c r="FA35" s="279"/>
      <c r="FB35" s="279"/>
      <c r="FC35" s="279"/>
      <c r="FD35" s="279"/>
      <c r="FE35" s="279"/>
      <c r="FF35" s="279"/>
      <c r="FG35" s="279"/>
      <c r="FH35" s="279"/>
      <c r="FI35" s="279"/>
      <c r="FJ35" s="279"/>
      <c r="FK35" s="279"/>
      <c r="FL35" s="279"/>
      <c r="FM35" s="279"/>
      <c r="FN35" s="279"/>
      <c r="FO35" s="279"/>
      <c r="FP35" s="279"/>
      <c r="FQ35" s="279"/>
      <c r="FR35" s="279"/>
      <c r="FS35" s="279"/>
      <c r="FT35" s="117"/>
      <c r="FU35" s="279"/>
      <c r="FV35" s="279"/>
      <c r="FW35" s="279"/>
      <c r="FX35" s="279"/>
      <c r="FY35" s="279"/>
      <c r="FZ35" s="279"/>
      <c r="GA35" s="279"/>
      <c r="GB35" s="279"/>
      <c r="GC35" s="279"/>
      <c r="GD35" s="279"/>
      <c r="GE35" s="279"/>
      <c r="GF35" s="279"/>
      <c r="GG35" s="279"/>
      <c r="GH35" s="279"/>
      <c r="GI35" s="279"/>
      <c r="GJ35" s="279"/>
      <c r="GK35" s="279"/>
      <c r="GL35" s="279"/>
      <c r="GM35" s="279"/>
      <c r="GN35" s="279"/>
      <c r="GO35" s="279"/>
      <c r="GP35" s="279"/>
      <c r="GQ35" s="279">
        <f>SUM(GQ24)</f>
        <v>46</v>
      </c>
      <c r="GR35" s="279">
        <f t="shared" ref="GR35:GT35" si="194">SUM(GR24)</f>
        <v>105</v>
      </c>
      <c r="GS35" s="280">
        <f t="shared" si="194"/>
        <v>109</v>
      </c>
      <c r="GT35" s="280">
        <f t="shared" si="194"/>
        <v>123</v>
      </c>
      <c r="GU35" s="280"/>
      <c r="GV35" s="280"/>
      <c r="GW35" s="281"/>
      <c r="GX35" s="282">
        <f t="shared" ref="GX35" si="195">SUM(GX24)</f>
        <v>52</v>
      </c>
      <c r="GY35" s="283">
        <v>66</v>
      </c>
      <c r="GZ35" s="283">
        <f>GZ24</f>
        <v>96</v>
      </c>
      <c r="HA35" s="283">
        <f>HA24</f>
        <v>71</v>
      </c>
      <c r="HB35" s="280"/>
      <c r="HC35" s="280"/>
      <c r="HD35" s="284">
        <v>71</v>
      </c>
      <c r="HE35" s="283">
        <v>46</v>
      </c>
      <c r="HF35" s="280">
        <v>102</v>
      </c>
      <c r="HG35" s="183">
        <f>SUM(HG24)</f>
        <v>69</v>
      </c>
      <c r="HH35" s="183">
        <f>SUM(HH24)</f>
        <v>103</v>
      </c>
      <c r="HI35" s="183">
        <f>SUM(HI24)</f>
        <v>81</v>
      </c>
      <c r="HJ35" s="280"/>
      <c r="HK35" s="284"/>
    </row>
    <row r="36" spans="1:219" ht="19.5" thickBot="1" x14ac:dyDescent="0.35">
      <c r="B36" s="259"/>
      <c r="C36" s="253" t="s">
        <v>2</v>
      </c>
      <c r="D36" s="302">
        <f>SUM(D25:J25)</f>
        <v>0</v>
      </c>
      <c r="E36" s="303"/>
      <c r="F36" s="303"/>
      <c r="G36" s="303"/>
      <c r="H36" s="303"/>
      <c r="I36" s="303"/>
      <c r="J36" s="303"/>
      <c r="K36" s="300">
        <f>SUM(K25:Q25)</f>
        <v>575</v>
      </c>
      <c r="L36" s="300"/>
      <c r="M36" s="300"/>
      <c r="N36" s="300"/>
      <c r="O36" s="300"/>
      <c r="P36" s="300"/>
      <c r="Q36" s="300"/>
      <c r="R36" s="300">
        <f>SUM(R25:X25)</f>
        <v>1035</v>
      </c>
      <c r="S36" s="300"/>
      <c r="T36" s="300"/>
      <c r="U36" s="300"/>
      <c r="V36" s="300"/>
      <c r="W36" s="300"/>
      <c r="X36" s="300"/>
      <c r="Y36" s="300">
        <f>SUM(Y25:AE25)</f>
        <v>1089</v>
      </c>
      <c r="Z36" s="300"/>
      <c r="AA36" s="300"/>
      <c r="AB36" s="300"/>
      <c r="AC36" s="300"/>
      <c r="AD36" s="300"/>
      <c r="AE36" s="300"/>
      <c r="AF36" s="300">
        <f>SUM(AF25:AL25)</f>
        <v>1008</v>
      </c>
      <c r="AG36" s="300"/>
      <c r="AH36" s="300"/>
      <c r="AI36" s="300"/>
      <c r="AJ36" s="300"/>
      <c r="AK36" s="300"/>
      <c r="AL36" s="300"/>
      <c r="AM36" s="300">
        <f>SUM(AM25:AS25)</f>
        <v>869</v>
      </c>
      <c r="AN36" s="300"/>
      <c r="AO36" s="300"/>
      <c r="AP36" s="300"/>
      <c r="AQ36" s="300"/>
      <c r="AR36" s="300"/>
      <c r="AS36" s="300"/>
      <c r="AT36" s="300">
        <f>SUM(AT25:AZ25)</f>
        <v>1043</v>
      </c>
      <c r="AU36" s="300"/>
      <c r="AV36" s="300"/>
      <c r="AW36" s="300"/>
      <c r="AX36" s="300"/>
      <c r="AY36" s="300"/>
      <c r="AZ36" s="300"/>
      <c r="BA36" s="300">
        <f>SUM(BA25:BG25)</f>
        <v>1137</v>
      </c>
      <c r="BB36" s="300"/>
      <c r="BC36" s="300"/>
      <c r="BD36" s="300"/>
      <c r="BE36" s="300"/>
      <c r="BF36" s="300"/>
      <c r="BG36" s="300"/>
      <c r="BH36" s="300">
        <f>SUM(BH25:BN25)</f>
        <v>1161</v>
      </c>
      <c r="BI36" s="300"/>
      <c r="BJ36" s="300"/>
      <c r="BK36" s="300"/>
      <c r="BL36" s="300"/>
      <c r="BM36" s="300"/>
      <c r="BN36" s="300"/>
      <c r="BO36" s="307">
        <f>SUM(BO25:BT25)</f>
        <v>1218</v>
      </c>
      <c r="BP36" s="307"/>
      <c r="BQ36" s="307"/>
      <c r="BR36" s="307"/>
      <c r="BS36" s="307"/>
      <c r="BT36" s="307"/>
      <c r="BU36" s="307"/>
      <c r="BV36" s="300">
        <f>SUM(BV25:CA25)</f>
        <v>1384</v>
      </c>
      <c r="BW36" s="300"/>
      <c r="BX36" s="300"/>
      <c r="BY36" s="300"/>
      <c r="BZ36" s="300"/>
      <c r="CA36" s="300"/>
      <c r="CB36" s="300"/>
      <c r="CC36" s="300">
        <f>SUM(CC25:CH25)</f>
        <v>1868</v>
      </c>
      <c r="CD36" s="300"/>
      <c r="CE36" s="300"/>
      <c r="CF36" s="300"/>
      <c r="CG36" s="300"/>
      <c r="CH36" s="300"/>
      <c r="CI36" s="300"/>
      <c r="CJ36" s="300">
        <f>SUM(CJ25:CO25)</f>
        <v>2039</v>
      </c>
      <c r="CK36" s="300"/>
      <c r="CL36" s="300"/>
      <c r="CM36" s="300"/>
      <c r="CN36" s="300"/>
      <c r="CO36" s="300"/>
      <c r="CP36" s="300"/>
      <c r="CQ36" s="300">
        <f>SUM(CQ25:CV25)</f>
        <v>2037</v>
      </c>
      <c r="CR36" s="300"/>
      <c r="CS36" s="300"/>
      <c r="CT36" s="300"/>
      <c r="CU36" s="300"/>
      <c r="CV36" s="300"/>
      <c r="CW36" s="300"/>
      <c r="CX36" s="300">
        <f>SUM(CX25:DC25)</f>
        <v>1662</v>
      </c>
      <c r="CY36" s="300"/>
      <c r="CZ36" s="300"/>
      <c r="DA36" s="300"/>
      <c r="DB36" s="300"/>
      <c r="DC36" s="300"/>
      <c r="DD36" s="300"/>
      <c r="DE36" s="300">
        <f>SUM(DE25:DJ25)</f>
        <v>1914</v>
      </c>
      <c r="DF36" s="300"/>
      <c r="DG36" s="300"/>
      <c r="DH36" s="300"/>
      <c r="DI36" s="300"/>
      <c r="DJ36" s="300"/>
      <c r="DK36" s="300"/>
      <c r="DL36" s="300">
        <f>SUM(DL25:DQ25)</f>
        <v>1970</v>
      </c>
      <c r="DM36" s="300"/>
      <c r="DN36" s="300"/>
      <c r="DO36" s="300"/>
      <c r="DP36" s="300"/>
      <c r="DQ36" s="300"/>
      <c r="DR36" s="300"/>
      <c r="DS36" s="300">
        <f>SUM(DS25:DX25)</f>
        <v>1695</v>
      </c>
      <c r="DT36" s="300"/>
      <c r="DU36" s="300"/>
      <c r="DV36" s="300"/>
      <c r="DW36" s="300"/>
      <c r="DX36" s="300"/>
      <c r="DY36" s="300"/>
      <c r="DZ36" s="300">
        <f>SUM(DZ25:EE25)</f>
        <v>2035</v>
      </c>
      <c r="EA36" s="300"/>
      <c r="EB36" s="300"/>
      <c r="EC36" s="300"/>
      <c r="ED36" s="300"/>
      <c r="EE36" s="300"/>
      <c r="EF36" s="300"/>
      <c r="EG36" s="300"/>
      <c r="EH36" s="300">
        <f>SUM(EH25:EM25)</f>
        <v>2040</v>
      </c>
      <c r="EI36" s="300"/>
      <c r="EJ36" s="300"/>
      <c r="EK36" s="300"/>
      <c r="EL36" s="300"/>
      <c r="EM36" s="300"/>
      <c r="EN36" s="300"/>
      <c r="EO36" s="300"/>
      <c r="EP36" s="300">
        <f>SUM(EP25:EU25)</f>
        <v>2052</v>
      </c>
      <c r="EQ36" s="300"/>
      <c r="ER36" s="300"/>
      <c r="ES36" s="300"/>
      <c r="ET36" s="300"/>
      <c r="EU36" s="300"/>
      <c r="EV36" s="300"/>
      <c r="EW36" s="300"/>
      <c r="EX36" s="300">
        <f>SUM(EX25:FC25)</f>
        <v>1462</v>
      </c>
      <c r="EY36" s="300"/>
      <c r="EZ36" s="300"/>
      <c r="FA36" s="300"/>
      <c r="FB36" s="300"/>
      <c r="FC36" s="300"/>
      <c r="FD36" s="300"/>
      <c r="FE36" s="260"/>
      <c r="FF36" s="300">
        <f>SUM(FF25:FK25)</f>
        <v>1047</v>
      </c>
      <c r="FG36" s="300"/>
      <c r="FH36" s="300"/>
      <c r="FI36" s="300"/>
      <c r="FJ36" s="300"/>
      <c r="FK36" s="300"/>
      <c r="FL36" s="300"/>
      <c r="FM36" s="300">
        <f>SUM(FM25:FR25)</f>
        <v>1365</v>
      </c>
      <c r="FN36" s="300"/>
      <c r="FO36" s="300"/>
      <c r="FP36" s="300"/>
      <c r="FQ36" s="300"/>
      <c r="FR36" s="300"/>
      <c r="FS36" s="300"/>
      <c r="FT36" s="260"/>
      <c r="FU36" s="300">
        <f>SUM(FU25:FZ25)</f>
        <v>1866</v>
      </c>
      <c r="FV36" s="300"/>
      <c r="FW36" s="300"/>
      <c r="FX36" s="300"/>
      <c r="FY36" s="300"/>
      <c r="FZ36" s="300"/>
      <c r="GA36" s="300"/>
      <c r="GB36" s="300"/>
      <c r="GC36" s="300"/>
      <c r="GD36" s="300"/>
      <c r="GE36" s="300"/>
      <c r="GF36" s="300"/>
      <c r="GG36" s="300"/>
      <c r="GH36" s="300"/>
      <c r="GI36" s="300">
        <f>SUM(GI25:GN25)</f>
        <v>1414</v>
      </c>
      <c r="GJ36" s="300"/>
      <c r="GK36" s="300"/>
      <c r="GL36" s="300"/>
      <c r="GM36" s="300"/>
      <c r="GN36" s="300"/>
      <c r="GO36" s="300"/>
      <c r="GP36" s="300">
        <f>SUM(GP25:GU25)</f>
        <v>1101</v>
      </c>
      <c r="GQ36" s="300"/>
      <c r="GR36" s="300"/>
      <c r="GS36" s="300"/>
      <c r="GT36" s="300"/>
      <c r="GU36" s="300"/>
      <c r="GV36" s="300"/>
      <c r="GW36" s="261"/>
      <c r="GX36" s="308">
        <f t="shared" ref="GX36:GX37" si="196">SUM(GX25:HC25)</f>
        <v>1080</v>
      </c>
      <c r="GY36" s="300"/>
      <c r="GZ36" s="300"/>
      <c r="HA36" s="300"/>
      <c r="HB36" s="300"/>
      <c r="HC36" s="300"/>
      <c r="HD36" s="309"/>
      <c r="HE36" s="310">
        <f t="shared" ref="HE36:HE37" si="197">SUM(HE25:HJ25)</f>
        <v>1419</v>
      </c>
      <c r="HF36" s="300"/>
      <c r="HG36" s="300"/>
      <c r="HH36" s="300"/>
      <c r="HI36" s="300"/>
      <c r="HJ36" s="300"/>
      <c r="HK36" s="309"/>
    </row>
    <row r="37" spans="1:219" ht="19.5" thickBot="1" x14ac:dyDescent="0.35">
      <c r="B37" s="14"/>
      <c r="C37" s="122" t="s">
        <v>3</v>
      </c>
      <c r="D37" s="304">
        <f>SUM(D26:J26)</f>
        <v>0</v>
      </c>
      <c r="E37" s="305"/>
      <c r="F37" s="305"/>
      <c r="G37" s="305"/>
      <c r="H37" s="305"/>
      <c r="I37" s="305"/>
      <c r="J37" s="305"/>
      <c r="K37" s="299">
        <f>SUM(K26:Q26)</f>
        <v>569</v>
      </c>
      <c r="L37" s="299"/>
      <c r="M37" s="299"/>
      <c r="N37" s="299"/>
      <c r="O37" s="299"/>
      <c r="P37" s="299"/>
      <c r="Q37" s="299"/>
      <c r="R37" s="299">
        <f>SUM(R26:X26)</f>
        <v>1033</v>
      </c>
      <c r="S37" s="299"/>
      <c r="T37" s="299"/>
      <c r="U37" s="299"/>
      <c r="V37" s="299"/>
      <c r="W37" s="299"/>
      <c r="X37" s="299"/>
      <c r="Y37" s="299">
        <f>SUM(Y26:AE26)</f>
        <v>1096</v>
      </c>
      <c r="Z37" s="299"/>
      <c r="AA37" s="299"/>
      <c r="AB37" s="299"/>
      <c r="AC37" s="299"/>
      <c r="AD37" s="299"/>
      <c r="AE37" s="299"/>
      <c r="AF37" s="299">
        <f>SUM(AF26:AL26)</f>
        <v>1002</v>
      </c>
      <c r="AG37" s="299"/>
      <c r="AH37" s="299"/>
      <c r="AI37" s="299"/>
      <c r="AJ37" s="299"/>
      <c r="AK37" s="299"/>
      <c r="AL37" s="299"/>
      <c r="AM37" s="299">
        <f>SUM(AM26:AS26)</f>
        <v>866</v>
      </c>
      <c r="AN37" s="299"/>
      <c r="AO37" s="299"/>
      <c r="AP37" s="299"/>
      <c r="AQ37" s="299"/>
      <c r="AR37" s="299"/>
      <c r="AS37" s="299"/>
      <c r="AT37" s="299">
        <f>SUM(AT26:AZ26)</f>
        <v>1049</v>
      </c>
      <c r="AU37" s="299"/>
      <c r="AV37" s="299"/>
      <c r="AW37" s="299"/>
      <c r="AX37" s="299"/>
      <c r="AY37" s="299"/>
      <c r="AZ37" s="299"/>
      <c r="BA37" s="299">
        <f>SUM(BA26:BG26)</f>
        <v>1150</v>
      </c>
      <c r="BB37" s="299"/>
      <c r="BC37" s="299"/>
      <c r="BD37" s="299"/>
      <c r="BE37" s="299"/>
      <c r="BF37" s="299"/>
      <c r="BG37" s="299"/>
      <c r="BH37" s="299">
        <f>SUM(BH26:BN26)</f>
        <v>1163</v>
      </c>
      <c r="BI37" s="299"/>
      <c r="BJ37" s="299"/>
      <c r="BK37" s="299"/>
      <c r="BL37" s="299"/>
      <c r="BM37" s="299"/>
      <c r="BN37" s="299"/>
      <c r="BO37" s="299">
        <f>SUM(BO26:BT26)</f>
        <v>1223</v>
      </c>
      <c r="BP37" s="299"/>
      <c r="BQ37" s="299"/>
      <c r="BR37" s="299"/>
      <c r="BS37" s="299"/>
      <c r="BT37" s="299"/>
      <c r="BU37" s="299"/>
      <c r="BV37" s="299">
        <f>SUM(BV26:CA26)</f>
        <v>1379</v>
      </c>
      <c r="BW37" s="299"/>
      <c r="BX37" s="299"/>
      <c r="BY37" s="299"/>
      <c r="BZ37" s="299"/>
      <c r="CA37" s="299"/>
      <c r="CB37" s="299"/>
      <c r="CC37" s="299">
        <f>SUM(CC26:CH26)</f>
        <v>1866</v>
      </c>
      <c r="CD37" s="299"/>
      <c r="CE37" s="299"/>
      <c r="CF37" s="299"/>
      <c r="CG37" s="299"/>
      <c r="CH37" s="299"/>
      <c r="CI37" s="299"/>
      <c r="CJ37" s="299">
        <f>SUM(CJ26:CO26)</f>
        <v>2030</v>
      </c>
      <c r="CK37" s="299"/>
      <c r="CL37" s="299"/>
      <c r="CM37" s="299"/>
      <c r="CN37" s="299"/>
      <c r="CO37" s="299"/>
      <c r="CP37" s="299"/>
      <c r="CQ37" s="299">
        <f>SUM(CQ26:CV26)</f>
        <v>2027</v>
      </c>
      <c r="CR37" s="299"/>
      <c r="CS37" s="299"/>
      <c r="CT37" s="299"/>
      <c r="CU37" s="299"/>
      <c r="CV37" s="299"/>
      <c r="CW37" s="299"/>
      <c r="CX37" s="299">
        <f>SUM(CX26:DC26)</f>
        <v>1649</v>
      </c>
      <c r="CY37" s="299"/>
      <c r="CZ37" s="299"/>
      <c r="DA37" s="299"/>
      <c r="DB37" s="299"/>
      <c r="DC37" s="299"/>
      <c r="DD37" s="299"/>
      <c r="DE37" s="299">
        <f>SUM(DE26:DJ26)</f>
        <v>1919</v>
      </c>
      <c r="DF37" s="299"/>
      <c r="DG37" s="299"/>
      <c r="DH37" s="299"/>
      <c r="DI37" s="299"/>
      <c r="DJ37" s="299"/>
      <c r="DK37" s="299"/>
      <c r="DL37" s="299">
        <f>SUM(DL26:DQ26)</f>
        <v>1977</v>
      </c>
      <c r="DM37" s="299"/>
      <c r="DN37" s="299"/>
      <c r="DO37" s="299"/>
      <c r="DP37" s="299"/>
      <c r="DQ37" s="299"/>
      <c r="DR37" s="299"/>
      <c r="DS37" s="299">
        <f>SUM(DS26:DX26)</f>
        <v>1697</v>
      </c>
      <c r="DT37" s="299"/>
      <c r="DU37" s="299"/>
      <c r="DV37" s="299"/>
      <c r="DW37" s="299"/>
      <c r="DX37" s="299"/>
      <c r="DY37" s="299"/>
      <c r="DZ37" s="299">
        <f>SUM(DZ26:EE26)</f>
        <v>2029</v>
      </c>
      <c r="EA37" s="299"/>
      <c r="EB37" s="299"/>
      <c r="EC37" s="299"/>
      <c r="ED37" s="299"/>
      <c r="EE37" s="299"/>
      <c r="EF37" s="299"/>
      <c r="EG37" s="299"/>
      <c r="EH37" s="299">
        <f>SUM(EH26:EM26)</f>
        <v>2043</v>
      </c>
      <c r="EI37" s="299"/>
      <c r="EJ37" s="299"/>
      <c r="EK37" s="299"/>
      <c r="EL37" s="299"/>
      <c r="EM37" s="299"/>
      <c r="EN37" s="299"/>
      <c r="EO37" s="299"/>
      <c r="EP37" s="299">
        <f>SUM(EP26:EU26)</f>
        <v>2061</v>
      </c>
      <c r="EQ37" s="299"/>
      <c r="ER37" s="299"/>
      <c r="ES37" s="299"/>
      <c r="ET37" s="299"/>
      <c r="EU37" s="299"/>
      <c r="EV37" s="299"/>
      <c r="EW37" s="299"/>
      <c r="EX37" s="299">
        <f>SUM(EX26:FC26)</f>
        <v>1457</v>
      </c>
      <c r="EY37" s="299"/>
      <c r="EZ37" s="299"/>
      <c r="FA37" s="299"/>
      <c r="FB37" s="299"/>
      <c r="FC37" s="299"/>
      <c r="FD37" s="299"/>
      <c r="FE37" s="116"/>
      <c r="FF37" s="299">
        <f>SUM(FF26:FK26)</f>
        <v>1052</v>
      </c>
      <c r="FG37" s="299"/>
      <c r="FH37" s="299"/>
      <c r="FI37" s="299"/>
      <c r="FJ37" s="299"/>
      <c r="FK37" s="299"/>
      <c r="FL37" s="299"/>
      <c r="FM37" s="299">
        <f>SUM(FM26:FR26)</f>
        <v>1365</v>
      </c>
      <c r="FN37" s="299"/>
      <c r="FO37" s="299"/>
      <c r="FP37" s="299"/>
      <c r="FQ37" s="299"/>
      <c r="FR37" s="299"/>
      <c r="FS37" s="299"/>
      <c r="FT37" s="116"/>
      <c r="FU37" s="299">
        <f>SUM(FU26:FZ26)</f>
        <v>1855</v>
      </c>
      <c r="FV37" s="299"/>
      <c r="FW37" s="299"/>
      <c r="FX37" s="299"/>
      <c r="FY37" s="299"/>
      <c r="FZ37" s="299"/>
      <c r="GA37" s="299"/>
      <c r="GB37" s="299"/>
      <c r="GC37" s="299"/>
      <c r="GD37" s="299"/>
      <c r="GE37" s="299"/>
      <c r="GF37" s="299"/>
      <c r="GG37" s="299"/>
      <c r="GH37" s="299"/>
      <c r="GI37" s="299">
        <f>SUM(GI26:GN26)</f>
        <v>1415</v>
      </c>
      <c r="GJ37" s="299"/>
      <c r="GK37" s="299"/>
      <c r="GL37" s="299"/>
      <c r="GM37" s="299"/>
      <c r="GN37" s="299"/>
      <c r="GO37" s="299"/>
      <c r="GP37" s="299">
        <f>SUM(GP26:GU26)</f>
        <v>1102</v>
      </c>
      <c r="GQ37" s="299"/>
      <c r="GR37" s="299"/>
      <c r="GS37" s="299"/>
      <c r="GT37" s="299"/>
      <c r="GU37" s="299"/>
      <c r="GV37" s="299"/>
      <c r="GW37" s="208"/>
      <c r="GX37" s="311">
        <f t="shared" si="196"/>
        <v>1079</v>
      </c>
      <c r="GY37" s="299"/>
      <c r="GZ37" s="299"/>
      <c r="HA37" s="299"/>
      <c r="HB37" s="299"/>
      <c r="HC37" s="299"/>
      <c r="HD37" s="312"/>
      <c r="HE37" s="313">
        <f t="shared" si="197"/>
        <v>1406</v>
      </c>
      <c r="HF37" s="299"/>
      <c r="HG37" s="299"/>
      <c r="HH37" s="299"/>
      <c r="HI37" s="299"/>
      <c r="HJ37" s="299"/>
      <c r="HK37" s="312"/>
    </row>
    <row r="38" spans="1:219" s="45" customFormat="1" ht="18" customHeight="1" thickBot="1" x14ac:dyDescent="0.35">
      <c r="B38" s="133" t="s">
        <v>78</v>
      </c>
      <c r="C38" s="134" t="s">
        <v>8</v>
      </c>
      <c r="D38" s="168">
        <f t="shared" ref="D38:P38" si="198">0+0</f>
        <v>0</v>
      </c>
      <c r="E38" s="63">
        <f t="shared" si="198"/>
        <v>0</v>
      </c>
      <c r="F38" s="63">
        <f t="shared" si="198"/>
        <v>0</v>
      </c>
      <c r="G38" s="63">
        <f t="shared" si="198"/>
        <v>0</v>
      </c>
      <c r="H38" s="63">
        <f t="shared" si="198"/>
        <v>0</v>
      </c>
      <c r="I38" s="63">
        <f t="shared" si="198"/>
        <v>0</v>
      </c>
      <c r="J38" s="63">
        <f t="shared" si="198"/>
        <v>0</v>
      </c>
      <c r="K38" s="58">
        <f t="shared" si="198"/>
        <v>0</v>
      </c>
      <c r="L38" s="58">
        <v>0</v>
      </c>
      <c r="M38" s="58">
        <v>158</v>
      </c>
      <c r="N38" s="58">
        <v>206</v>
      </c>
      <c r="O38" s="58">
        <v>203</v>
      </c>
      <c r="P38" s="58">
        <f t="shared" si="198"/>
        <v>0</v>
      </c>
      <c r="Q38" s="58"/>
      <c r="R38" s="58">
        <v>194</v>
      </c>
      <c r="S38" s="58">
        <v>204</v>
      </c>
      <c r="T38" s="58">
        <v>206</v>
      </c>
      <c r="U38" s="58">
        <v>210</v>
      </c>
      <c r="V38" s="58">
        <v>212</v>
      </c>
      <c r="W38" s="58"/>
      <c r="X38" s="58"/>
      <c r="Y38" s="58">
        <v>204</v>
      </c>
      <c r="Z38" s="58">
        <v>215</v>
      </c>
      <c r="AA38" s="58">
        <v>200</v>
      </c>
      <c r="AB38" s="58">
        <v>211</v>
      </c>
      <c r="AC38" s="58">
        <v>212</v>
      </c>
      <c r="AD38" s="58">
        <v>0</v>
      </c>
      <c r="AE38" s="58"/>
      <c r="AF38" s="58">
        <v>208</v>
      </c>
      <c r="AG38" s="58">
        <v>208</v>
      </c>
      <c r="AH38" s="58">
        <v>213</v>
      </c>
      <c r="AI38" s="58">
        <v>206</v>
      </c>
      <c r="AJ38" s="58">
        <v>215</v>
      </c>
      <c r="AK38" s="58">
        <v>0</v>
      </c>
      <c r="AL38" s="58"/>
      <c r="AM38" s="58">
        <v>13</v>
      </c>
      <c r="AN38" s="58">
        <v>215</v>
      </c>
      <c r="AO38" s="58">
        <f>196+12</f>
        <v>208</v>
      </c>
      <c r="AP38" s="58">
        <v>208</v>
      </c>
      <c r="AQ38" s="58">
        <v>210</v>
      </c>
      <c r="AR38" s="58"/>
      <c r="AS38" s="58"/>
      <c r="AT38" s="58">
        <v>122</v>
      </c>
      <c r="AU38" s="58">
        <v>203</v>
      </c>
      <c r="AV38" s="58">
        <v>201</v>
      </c>
      <c r="AW38" s="58">
        <v>207</v>
      </c>
      <c r="AX38" s="58">
        <v>202</v>
      </c>
      <c r="AY38" s="58"/>
      <c r="AZ38" s="58"/>
      <c r="BA38" s="58">
        <v>123</v>
      </c>
      <c r="BB38" s="58">
        <v>197</v>
      </c>
      <c r="BC38" s="58">
        <v>209</v>
      </c>
      <c r="BD38" s="58">
        <v>207</v>
      </c>
      <c r="BE38" s="58">
        <v>215</v>
      </c>
      <c r="BF38" s="58">
        <v>119</v>
      </c>
      <c r="BG38" s="58"/>
      <c r="BH38" s="58">
        <v>191</v>
      </c>
      <c r="BI38" s="58">
        <v>215</v>
      </c>
      <c r="BJ38" s="58">
        <v>211</v>
      </c>
      <c r="BK38" s="58">
        <v>213</v>
      </c>
      <c r="BL38" s="58">
        <v>184</v>
      </c>
      <c r="BM38" s="58">
        <v>0</v>
      </c>
      <c r="BN38" s="58"/>
      <c r="BO38" s="58">
        <v>208</v>
      </c>
      <c r="BP38" s="58">
        <v>192</v>
      </c>
      <c r="BQ38" s="58">
        <v>208</v>
      </c>
      <c r="BR38" s="58">
        <v>203</v>
      </c>
      <c r="BS38" s="58">
        <v>206</v>
      </c>
      <c r="BT38" s="58"/>
      <c r="BU38" s="58"/>
      <c r="BV38" s="58">
        <v>182</v>
      </c>
      <c r="BW38" s="58">
        <v>180</v>
      </c>
      <c r="BX38" s="58">
        <v>185</v>
      </c>
      <c r="BY38" s="58">
        <v>198</v>
      </c>
      <c r="BZ38" s="58">
        <v>200</v>
      </c>
      <c r="CA38" s="58"/>
      <c r="CB38" s="58"/>
      <c r="CC38" s="58">
        <v>190</v>
      </c>
      <c r="CD38" s="58">
        <v>175</v>
      </c>
      <c r="CE38" s="58">
        <v>113</v>
      </c>
      <c r="CF38" s="58">
        <v>207</v>
      </c>
      <c r="CG38" s="58">
        <v>165</v>
      </c>
      <c r="CH38" s="58"/>
      <c r="CI38" s="58"/>
      <c r="CJ38" s="58">
        <v>202</v>
      </c>
      <c r="CK38" s="58">
        <v>198</v>
      </c>
      <c r="CL38" s="58">
        <v>215</v>
      </c>
      <c r="CM38" s="58">
        <v>198</v>
      </c>
      <c r="CN38" s="58">
        <v>190</v>
      </c>
      <c r="CO38" s="58"/>
      <c r="CP38" s="58"/>
      <c r="CQ38" s="58">
        <v>204</v>
      </c>
      <c r="CR38" s="58">
        <v>211</v>
      </c>
      <c r="CS38" s="58">
        <v>215</v>
      </c>
      <c r="CT38" s="58">
        <v>203</v>
      </c>
      <c r="CU38" s="58">
        <v>212</v>
      </c>
      <c r="CV38" s="58"/>
      <c r="CW38" s="58"/>
      <c r="CX38" s="58"/>
      <c r="CY38" s="58">
        <v>200</v>
      </c>
      <c r="CZ38" s="58">
        <v>193</v>
      </c>
      <c r="DA38" s="58">
        <v>193</v>
      </c>
      <c r="DB38" s="58">
        <v>183</v>
      </c>
      <c r="DC38" s="58"/>
      <c r="DD38" s="58"/>
      <c r="DE38" s="58">
        <v>190</v>
      </c>
      <c r="DF38" s="58">
        <v>206</v>
      </c>
      <c r="DG38" s="58">
        <v>215</v>
      </c>
      <c r="DH38" s="58">
        <v>205</v>
      </c>
      <c r="DI38" s="58">
        <v>198</v>
      </c>
      <c r="DJ38" s="58"/>
      <c r="DK38" s="58"/>
      <c r="DL38" s="58">
        <v>203</v>
      </c>
      <c r="DM38" s="58">
        <v>207</v>
      </c>
      <c r="DN38" s="58">
        <v>189</v>
      </c>
      <c r="DO38" s="58">
        <v>195</v>
      </c>
      <c r="DP38" s="58">
        <v>209</v>
      </c>
      <c r="DQ38" s="58"/>
      <c r="DR38" s="58"/>
      <c r="DS38" s="58">
        <v>200</v>
      </c>
      <c r="DT38" s="58">
        <v>209</v>
      </c>
      <c r="DU38" s="58">
        <v>211</v>
      </c>
      <c r="DV38" s="58">
        <v>215</v>
      </c>
      <c r="DW38" s="58"/>
      <c r="DX38" s="58"/>
      <c r="DY38" s="58"/>
      <c r="DZ38" s="58">
        <v>198</v>
      </c>
      <c r="EA38" s="58">
        <v>210</v>
      </c>
      <c r="EB38" s="58">
        <v>178</v>
      </c>
      <c r="EC38" s="58">
        <v>210</v>
      </c>
      <c r="ED38" s="58">
        <v>205</v>
      </c>
      <c r="EE38" s="58"/>
      <c r="EF38" s="58"/>
      <c r="EG38" s="58"/>
      <c r="EH38" s="58">
        <v>205</v>
      </c>
      <c r="EI38" s="58">
        <v>206</v>
      </c>
      <c r="EJ38" s="58">
        <v>205</v>
      </c>
      <c r="EK38" s="58">
        <v>212</v>
      </c>
      <c r="EL38" s="58">
        <v>204</v>
      </c>
      <c r="EM38" s="58"/>
      <c r="EN38" s="58"/>
      <c r="EO38" s="58"/>
      <c r="EP38" s="58">
        <v>202</v>
      </c>
      <c r="EQ38" s="58">
        <v>213</v>
      </c>
      <c r="ER38" s="58">
        <v>212</v>
      </c>
      <c r="ES38" s="58">
        <v>198</v>
      </c>
      <c r="ET38" s="58">
        <v>203</v>
      </c>
      <c r="EU38" s="58"/>
      <c r="EV38" s="58"/>
      <c r="EW38" s="58"/>
      <c r="EX38" s="58">
        <v>200</v>
      </c>
      <c r="EY38" s="58">
        <v>154</v>
      </c>
      <c r="EZ38" s="58">
        <v>151</v>
      </c>
      <c r="FA38" s="58">
        <v>0</v>
      </c>
      <c r="FB38" s="58">
        <v>206</v>
      </c>
      <c r="FC38" s="58"/>
      <c r="FD38" s="58"/>
      <c r="FE38" s="58"/>
      <c r="FF38" s="58"/>
      <c r="FG38" s="58"/>
      <c r="FH38" s="58">
        <v>164</v>
      </c>
      <c r="FI38" s="58">
        <v>178</v>
      </c>
      <c r="FJ38" s="58">
        <v>175</v>
      </c>
      <c r="FK38" s="58"/>
      <c r="FL38" s="58"/>
      <c r="FM38" s="169"/>
      <c r="FN38" s="58">
        <v>184</v>
      </c>
      <c r="FO38" s="58">
        <v>190</v>
      </c>
      <c r="FP38" s="58">
        <v>193</v>
      </c>
      <c r="FQ38" s="58">
        <v>153</v>
      </c>
      <c r="FR38" s="58"/>
      <c r="FS38" s="58"/>
      <c r="FT38" s="58"/>
      <c r="FU38" s="58">
        <v>186</v>
      </c>
      <c r="FV38" s="58">
        <v>187</v>
      </c>
      <c r="FW38" s="58">
        <v>186</v>
      </c>
      <c r="FX38" s="58">
        <v>185</v>
      </c>
      <c r="FY38" s="58">
        <v>191</v>
      </c>
      <c r="FZ38" s="58"/>
      <c r="GA38" s="58"/>
      <c r="GB38" s="58"/>
      <c r="GC38" s="58"/>
      <c r="GD38" s="58"/>
      <c r="GE38" s="58"/>
      <c r="GF38" s="58"/>
      <c r="GG38" s="58"/>
      <c r="GH38" s="58"/>
      <c r="GI38" s="58">
        <v>0</v>
      </c>
      <c r="GJ38" s="58">
        <v>162</v>
      </c>
      <c r="GK38" s="58">
        <v>143</v>
      </c>
      <c r="GL38" s="58">
        <v>197</v>
      </c>
      <c r="GM38" s="58">
        <v>195</v>
      </c>
      <c r="GN38" s="58"/>
      <c r="GO38" s="58"/>
      <c r="GP38" s="58">
        <v>0</v>
      </c>
      <c r="GQ38" s="58">
        <v>0</v>
      </c>
      <c r="GR38" s="58">
        <v>194</v>
      </c>
      <c r="GS38" s="58">
        <v>185</v>
      </c>
      <c r="GT38" s="58">
        <v>180</v>
      </c>
      <c r="GU38" s="58"/>
      <c r="GV38" s="58"/>
      <c r="GW38" s="209"/>
      <c r="GX38" s="238"/>
      <c r="GY38" s="58">
        <v>179</v>
      </c>
      <c r="GZ38" s="58">
        <v>179</v>
      </c>
      <c r="HA38" s="58">
        <v>177</v>
      </c>
      <c r="HB38" s="58"/>
      <c r="HC38" s="58"/>
      <c r="HD38" s="75"/>
      <c r="HE38" s="211"/>
      <c r="HF38" s="58">
        <v>187</v>
      </c>
      <c r="HG38" s="58">
        <v>191</v>
      </c>
      <c r="HH38" s="58">
        <v>192</v>
      </c>
      <c r="HI38" s="58">
        <v>191</v>
      </c>
      <c r="HJ38" s="58"/>
      <c r="HK38" s="75"/>
    </row>
    <row r="39" spans="1:219" s="45" customFormat="1" ht="18" customHeight="1" thickBot="1" x14ac:dyDescent="0.35">
      <c r="B39" s="133" t="s">
        <v>79</v>
      </c>
      <c r="C39" s="134" t="s">
        <v>8</v>
      </c>
      <c r="D39" s="168"/>
      <c r="E39" s="63"/>
      <c r="F39" s="63"/>
      <c r="G39" s="63"/>
      <c r="H39" s="63"/>
      <c r="I39" s="63"/>
      <c r="J39" s="63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>
        <v>0</v>
      </c>
      <c r="AN39" s="58">
        <v>0</v>
      </c>
      <c r="AO39" s="58">
        <v>9</v>
      </c>
      <c r="AP39" s="58">
        <v>9</v>
      </c>
      <c r="AQ39" s="58">
        <v>10</v>
      </c>
      <c r="AR39" s="58"/>
      <c r="AS39" s="58"/>
      <c r="AT39" s="58">
        <v>9</v>
      </c>
      <c r="AU39" s="58">
        <v>13</v>
      </c>
      <c r="AV39" s="58">
        <v>20</v>
      </c>
      <c r="AW39" s="58">
        <v>13</v>
      </c>
      <c r="AX39" s="58">
        <v>19</v>
      </c>
      <c r="AY39" s="58"/>
      <c r="AZ39" s="58"/>
      <c r="BA39" s="58">
        <v>20</v>
      </c>
      <c r="BB39" s="58">
        <v>9</v>
      </c>
      <c r="BC39" s="58">
        <v>0</v>
      </c>
      <c r="BD39" s="58">
        <v>0</v>
      </c>
      <c r="BE39" s="58">
        <v>0</v>
      </c>
      <c r="BF39" s="58"/>
      <c r="BG39" s="58"/>
      <c r="BH39" s="58">
        <v>0</v>
      </c>
      <c r="BI39" s="58">
        <v>33</v>
      </c>
      <c r="BJ39" s="58">
        <v>30</v>
      </c>
      <c r="BK39" s="58">
        <v>22</v>
      </c>
      <c r="BL39" s="58">
        <v>39</v>
      </c>
      <c r="BM39" s="58">
        <v>0</v>
      </c>
      <c r="BN39" s="58"/>
      <c r="BO39" s="58">
        <v>40</v>
      </c>
      <c r="BP39" s="58">
        <v>38</v>
      </c>
      <c r="BQ39" s="58">
        <v>46</v>
      </c>
      <c r="BR39" s="58">
        <v>55</v>
      </c>
      <c r="BS39" s="58">
        <v>59</v>
      </c>
      <c r="BT39" s="58"/>
      <c r="BU39" s="58"/>
      <c r="BV39" s="58">
        <v>60</v>
      </c>
      <c r="BW39" s="58">
        <v>80</v>
      </c>
      <c r="BX39" s="58">
        <v>97</v>
      </c>
      <c r="BY39" s="58">
        <v>83</v>
      </c>
      <c r="BZ39" s="58">
        <v>85</v>
      </c>
      <c r="CA39" s="58"/>
      <c r="CB39" s="58"/>
      <c r="CC39" s="58">
        <v>201</v>
      </c>
      <c r="CD39" s="58">
        <v>199</v>
      </c>
      <c r="CE39" s="58">
        <v>196</v>
      </c>
      <c r="CF39" s="58">
        <v>167</v>
      </c>
      <c r="CG39" s="58">
        <v>181</v>
      </c>
      <c r="CH39" s="58"/>
      <c r="CI39" s="58"/>
      <c r="CJ39" s="58">
        <v>178</v>
      </c>
      <c r="CK39" s="58">
        <v>211</v>
      </c>
      <c r="CL39" s="58">
        <v>211</v>
      </c>
      <c r="CM39" s="58">
        <v>207</v>
      </c>
      <c r="CN39" s="58">
        <v>205</v>
      </c>
      <c r="CO39" s="58"/>
      <c r="CP39" s="58"/>
      <c r="CQ39" s="58">
        <v>196</v>
      </c>
      <c r="CR39" s="58">
        <v>215</v>
      </c>
      <c r="CS39" s="58">
        <v>208</v>
      </c>
      <c r="CT39" s="58">
        <v>215</v>
      </c>
      <c r="CU39" s="58">
        <v>210</v>
      </c>
      <c r="CV39" s="58"/>
      <c r="CW39" s="58"/>
      <c r="CX39" s="58"/>
      <c r="CY39" s="58">
        <v>203</v>
      </c>
      <c r="CZ39" s="58">
        <v>203</v>
      </c>
      <c r="DA39" s="58">
        <v>205</v>
      </c>
      <c r="DB39" s="58">
        <v>207</v>
      </c>
      <c r="DC39" s="58"/>
      <c r="DD39" s="58"/>
      <c r="DE39" s="58">
        <v>195</v>
      </c>
      <c r="DF39" s="58">
        <v>206</v>
      </c>
      <c r="DG39" s="58">
        <v>206</v>
      </c>
      <c r="DH39" s="58">
        <v>195</v>
      </c>
      <c r="DI39" s="58">
        <v>208</v>
      </c>
      <c r="DJ39" s="58"/>
      <c r="DK39" s="58"/>
      <c r="DL39" s="58">
        <v>214</v>
      </c>
      <c r="DM39" s="58">
        <v>215</v>
      </c>
      <c r="DN39" s="58">
        <v>164</v>
      </c>
      <c r="DO39" s="58">
        <v>209</v>
      </c>
      <c r="DP39" s="58">
        <v>211</v>
      </c>
      <c r="DQ39" s="58"/>
      <c r="DR39" s="58"/>
      <c r="DS39" s="58">
        <v>210</v>
      </c>
      <c r="DT39" s="58">
        <v>198</v>
      </c>
      <c r="DU39" s="58">
        <v>208</v>
      </c>
      <c r="DV39" s="58">
        <v>209</v>
      </c>
      <c r="DW39" s="58"/>
      <c r="DX39" s="58"/>
      <c r="DY39" s="58"/>
      <c r="DZ39" s="58">
        <v>211</v>
      </c>
      <c r="EA39" s="58">
        <v>204</v>
      </c>
      <c r="EB39" s="58">
        <v>192</v>
      </c>
      <c r="EC39" s="58">
        <v>203</v>
      </c>
      <c r="ED39" s="58">
        <v>206</v>
      </c>
      <c r="EE39" s="58"/>
      <c r="EF39" s="58"/>
      <c r="EG39" s="58"/>
      <c r="EH39" s="58">
        <v>210</v>
      </c>
      <c r="EI39" s="58">
        <v>198</v>
      </c>
      <c r="EJ39" s="58">
        <v>200</v>
      </c>
      <c r="EK39" s="58">
        <v>207</v>
      </c>
      <c r="EL39" s="58">
        <v>204</v>
      </c>
      <c r="EM39" s="58"/>
      <c r="EN39" s="58"/>
      <c r="EO39" s="58"/>
      <c r="EP39" s="58">
        <v>209</v>
      </c>
      <c r="EQ39" s="58">
        <v>210</v>
      </c>
      <c r="ER39" s="58">
        <v>214</v>
      </c>
      <c r="ES39" s="58">
        <v>214</v>
      </c>
      <c r="ET39" s="58">
        <v>213</v>
      </c>
      <c r="EU39" s="58"/>
      <c r="EV39" s="58"/>
      <c r="EW39" s="58"/>
      <c r="EX39" s="58">
        <v>125</v>
      </c>
      <c r="EY39" s="58">
        <v>126</v>
      </c>
      <c r="EZ39" s="58">
        <v>192</v>
      </c>
      <c r="FA39" s="58">
        <v>172</v>
      </c>
      <c r="FB39" s="58">
        <v>181</v>
      </c>
      <c r="FC39" s="58"/>
      <c r="FD39" s="58"/>
      <c r="FE39" s="58"/>
      <c r="FF39" s="58"/>
      <c r="FG39" s="58"/>
      <c r="FH39" s="58">
        <v>143</v>
      </c>
      <c r="FI39" s="58">
        <v>180</v>
      </c>
      <c r="FJ39" s="58">
        <v>192</v>
      </c>
      <c r="FK39" s="58"/>
      <c r="FL39" s="58"/>
      <c r="FM39" s="58"/>
      <c r="FN39" s="58">
        <v>186</v>
      </c>
      <c r="FO39" s="58">
        <v>183</v>
      </c>
      <c r="FP39" s="58">
        <v>184</v>
      </c>
      <c r="FQ39" s="58">
        <v>153</v>
      </c>
      <c r="FR39" s="58"/>
      <c r="FS39" s="58"/>
      <c r="FT39" s="58"/>
      <c r="FU39" s="58">
        <v>190</v>
      </c>
      <c r="FV39" s="58">
        <v>190</v>
      </c>
      <c r="FW39" s="58">
        <v>195</v>
      </c>
      <c r="FX39" s="58">
        <v>193</v>
      </c>
      <c r="FY39" s="58">
        <v>191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>
        <v>0</v>
      </c>
      <c r="GJ39" s="58">
        <v>192</v>
      </c>
      <c r="GK39" s="58">
        <v>164</v>
      </c>
      <c r="GL39" s="58">
        <v>187</v>
      </c>
      <c r="GM39" s="58">
        <v>197</v>
      </c>
      <c r="GN39" s="58"/>
      <c r="GO39" s="58"/>
      <c r="GP39" s="58">
        <v>0</v>
      </c>
      <c r="GQ39" s="58">
        <v>0</v>
      </c>
      <c r="GR39" s="58">
        <v>172</v>
      </c>
      <c r="GS39" s="58">
        <v>190</v>
      </c>
      <c r="GT39" s="58">
        <v>186</v>
      </c>
      <c r="GU39" s="58"/>
      <c r="GV39" s="58"/>
      <c r="GW39" s="209"/>
      <c r="GX39" s="238"/>
      <c r="GY39" s="58">
        <v>193</v>
      </c>
      <c r="GZ39" s="58">
        <v>166</v>
      </c>
      <c r="HA39" s="58">
        <v>161</v>
      </c>
      <c r="HB39" s="58"/>
      <c r="HC39" s="58"/>
      <c r="HD39" s="75"/>
      <c r="HE39" s="211"/>
      <c r="HF39" s="58">
        <v>193</v>
      </c>
      <c r="HG39" s="58">
        <v>189</v>
      </c>
      <c r="HH39" s="58">
        <v>178</v>
      </c>
      <c r="HI39" s="58">
        <v>185</v>
      </c>
      <c r="HJ39" s="58"/>
      <c r="HK39" s="75"/>
    </row>
    <row r="40" spans="1:219" s="45" customFormat="1" ht="18" customHeight="1" thickBot="1" x14ac:dyDescent="0.35">
      <c r="B40" s="133" t="s">
        <v>172</v>
      </c>
      <c r="C40" s="134" t="s">
        <v>8</v>
      </c>
      <c r="D40" s="168"/>
      <c r="E40" s="63"/>
      <c r="F40" s="63"/>
      <c r="G40" s="63"/>
      <c r="H40" s="63"/>
      <c r="I40" s="63"/>
      <c r="J40" s="63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>
        <f>+EP38+EP39</f>
        <v>411</v>
      </c>
      <c r="EQ40" s="58">
        <f t="shared" ref="EQ40:ET40" si="199">+EQ38+EQ39</f>
        <v>423</v>
      </c>
      <c r="ER40" s="58">
        <f t="shared" si="199"/>
        <v>426</v>
      </c>
      <c r="ES40" s="58">
        <f t="shared" si="199"/>
        <v>412</v>
      </c>
      <c r="ET40" s="58">
        <f t="shared" si="199"/>
        <v>416</v>
      </c>
      <c r="EU40" s="58"/>
      <c r="EV40" s="58"/>
      <c r="EW40" s="58"/>
      <c r="EX40" s="58">
        <f>+EX38+EX39</f>
        <v>325</v>
      </c>
      <c r="EY40" s="58">
        <f t="shared" ref="EY40:FE40" si="200">+EY38+EY39</f>
        <v>280</v>
      </c>
      <c r="EZ40" s="58">
        <f t="shared" si="200"/>
        <v>343</v>
      </c>
      <c r="FA40" s="58">
        <f t="shared" si="200"/>
        <v>172</v>
      </c>
      <c r="FB40" s="58">
        <f t="shared" si="200"/>
        <v>387</v>
      </c>
      <c r="FC40" s="58">
        <f t="shared" si="200"/>
        <v>0</v>
      </c>
      <c r="FD40" s="58">
        <f t="shared" si="200"/>
        <v>0</v>
      </c>
      <c r="FE40" s="58">
        <f t="shared" si="200"/>
        <v>0</v>
      </c>
      <c r="FF40" s="58"/>
      <c r="FG40" s="58"/>
      <c r="FH40" s="58"/>
      <c r="FI40" s="58"/>
      <c r="FJ40" s="58"/>
      <c r="FK40" s="58"/>
      <c r="FL40" s="58"/>
      <c r="FM40" s="58"/>
      <c r="FN40" s="58">
        <f>+FN38+FN39</f>
        <v>370</v>
      </c>
      <c r="FO40" s="58">
        <f>+FO38+FO39</f>
        <v>373</v>
      </c>
      <c r="FP40" s="58">
        <f>+FP38+FP39</f>
        <v>377</v>
      </c>
      <c r="FQ40" s="58">
        <f>+FQ38+FQ39</f>
        <v>306</v>
      </c>
      <c r="FR40" s="58"/>
      <c r="FS40" s="58"/>
      <c r="FT40" s="58"/>
      <c r="FU40" s="58">
        <f>+FU38+FU39</f>
        <v>376</v>
      </c>
      <c r="FV40" s="58">
        <f>+FV38+FV39</f>
        <v>377</v>
      </c>
      <c r="FW40" s="58">
        <f>+FW38+FW39</f>
        <v>381</v>
      </c>
      <c r="FX40" s="58">
        <f>+FX38+FX39</f>
        <v>378</v>
      </c>
      <c r="FY40" s="58">
        <f>+FY38+FY39</f>
        <v>382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>
        <f>+GI38+GI39</f>
        <v>0</v>
      </c>
      <c r="GJ40" s="58">
        <f>+GJ38+GJ39</f>
        <v>354</v>
      </c>
      <c r="GK40" s="58">
        <f t="shared" ref="GK40:GO40" si="201">+GK38+GK39</f>
        <v>307</v>
      </c>
      <c r="GL40" s="58">
        <f>+GL38+GL39</f>
        <v>384</v>
      </c>
      <c r="GM40" s="58">
        <f t="shared" si="201"/>
        <v>392</v>
      </c>
      <c r="GN40" s="58">
        <f t="shared" si="201"/>
        <v>0</v>
      </c>
      <c r="GO40" s="58">
        <f t="shared" si="201"/>
        <v>0</v>
      </c>
      <c r="GP40" s="58">
        <f>SUM(GP38:GP39)</f>
        <v>0</v>
      </c>
      <c r="GQ40" s="58">
        <f t="shared" ref="GQ40:GT40" si="202">SUM(GQ38:GQ39)</f>
        <v>0</v>
      </c>
      <c r="GR40" s="58">
        <f>SUM(GR38:GR39)</f>
        <v>366</v>
      </c>
      <c r="GS40" s="58">
        <f>SUM(GS38:GS39)</f>
        <v>375</v>
      </c>
      <c r="GT40" s="58">
        <f t="shared" si="202"/>
        <v>366</v>
      </c>
      <c r="GU40" s="58"/>
      <c r="GV40" s="58"/>
      <c r="GW40" s="209"/>
      <c r="GX40" s="238"/>
      <c r="GY40" s="58">
        <f>GY39+GY38</f>
        <v>372</v>
      </c>
      <c r="GZ40" s="58">
        <f t="shared" ref="GZ40:HB40" si="203">GZ39+GZ38</f>
        <v>345</v>
      </c>
      <c r="HA40" s="58">
        <f t="shared" si="203"/>
        <v>338</v>
      </c>
      <c r="HB40" s="58">
        <f t="shared" si="203"/>
        <v>0</v>
      </c>
      <c r="HC40" s="58"/>
      <c r="HD40" s="75"/>
      <c r="HE40" s="211"/>
      <c r="HF40" s="58"/>
      <c r="HG40" s="58"/>
      <c r="HH40" s="58"/>
      <c r="HI40" s="58"/>
      <c r="HJ40" s="58"/>
      <c r="HK40" s="75"/>
    </row>
    <row r="41" spans="1:219" ht="19.5" thickBot="1" x14ac:dyDescent="0.35">
      <c r="B41" s="14"/>
      <c r="C41" s="131"/>
      <c r="D41" s="304">
        <f t="shared" ref="D41" si="204">SUM(D38:J38)</f>
        <v>0</v>
      </c>
      <c r="E41" s="305"/>
      <c r="F41" s="305"/>
      <c r="G41" s="305"/>
      <c r="H41" s="305"/>
      <c r="I41" s="305"/>
      <c r="J41" s="305"/>
      <c r="K41" s="299">
        <f t="shared" ref="K41" si="205">SUM(K38:Q38)</f>
        <v>567</v>
      </c>
      <c r="L41" s="299"/>
      <c r="M41" s="299"/>
      <c r="N41" s="299"/>
      <c r="O41" s="299"/>
      <c r="P41" s="299"/>
      <c r="Q41" s="299"/>
      <c r="R41" s="299">
        <f t="shared" ref="R41" si="206">SUM(R38:X38)</f>
        <v>1026</v>
      </c>
      <c r="S41" s="299"/>
      <c r="T41" s="299"/>
      <c r="U41" s="299"/>
      <c r="V41" s="299"/>
      <c r="W41" s="299"/>
      <c r="X41" s="299"/>
      <c r="Y41" s="299">
        <f t="shared" ref="Y41" si="207">SUM(Y38:AE38)</f>
        <v>1042</v>
      </c>
      <c r="Z41" s="299"/>
      <c r="AA41" s="299"/>
      <c r="AB41" s="299"/>
      <c r="AC41" s="299"/>
      <c r="AD41" s="299"/>
      <c r="AE41" s="299"/>
      <c r="AF41" s="299">
        <f t="shared" ref="AF41" si="208">SUM(AF38:AL38)</f>
        <v>1050</v>
      </c>
      <c r="AG41" s="299"/>
      <c r="AH41" s="299"/>
      <c r="AI41" s="299"/>
      <c r="AJ41" s="299"/>
      <c r="AK41" s="299"/>
      <c r="AL41" s="299"/>
      <c r="AM41" s="299">
        <f>SUM(AM38:AS39)</f>
        <v>882</v>
      </c>
      <c r="AN41" s="299"/>
      <c r="AO41" s="299"/>
      <c r="AP41" s="299"/>
      <c r="AQ41" s="299"/>
      <c r="AR41" s="299"/>
      <c r="AS41" s="299"/>
      <c r="AT41" s="299">
        <f>SUM(AT38:AZ39)</f>
        <v>1009</v>
      </c>
      <c r="AU41" s="299"/>
      <c r="AV41" s="299"/>
      <c r="AW41" s="299"/>
      <c r="AX41" s="299"/>
      <c r="AY41" s="299"/>
      <c r="AZ41" s="299"/>
      <c r="BA41" s="299">
        <f t="shared" ref="BA41" si="209">SUM(BA38:BG38)</f>
        <v>1070</v>
      </c>
      <c r="BB41" s="299"/>
      <c r="BC41" s="299"/>
      <c r="BD41" s="299"/>
      <c r="BE41" s="299"/>
      <c r="BF41" s="299"/>
      <c r="BG41" s="299"/>
      <c r="BH41" s="299">
        <f t="shared" ref="BH41" si="210">SUM(BH38:BN38)</f>
        <v>1014</v>
      </c>
      <c r="BI41" s="299"/>
      <c r="BJ41" s="299"/>
      <c r="BK41" s="299"/>
      <c r="BL41" s="299"/>
      <c r="BM41" s="299"/>
      <c r="BN41" s="299"/>
      <c r="BO41" s="306">
        <f t="shared" ref="BO41" si="211">SUM(BO38:BU38)</f>
        <v>1017</v>
      </c>
      <c r="BP41" s="306"/>
      <c r="BQ41" s="306"/>
      <c r="BR41" s="306"/>
      <c r="BS41" s="306"/>
      <c r="BT41" s="306"/>
      <c r="BU41" s="306"/>
      <c r="BV41" s="299">
        <f>SUM(BV38:CB39)</f>
        <v>1350</v>
      </c>
      <c r="BW41" s="299"/>
      <c r="BX41" s="299"/>
      <c r="BY41" s="299"/>
      <c r="BZ41" s="299"/>
      <c r="CA41" s="299"/>
      <c r="CB41" s="299"/>
      <c r="CC41" s="299">
        <f>SUM(CC38:CI39)</f>
        <v>1794</v>
      </c>
      <c r="CD41" s="299"/>
      <c r="CE41" s="299"/>
      <c r="CF41" s="299"/>
      <c r="CG41" s="299"/>
      <c r="CH41" s="299"/>
      <c r="CI41" s="299"/>
      <c r="CJ41" s="299">
        <f>SUM(CJ38:CP39)</f>
        <v>2015</v>
      </c>
      <c r="CK41" s="299"/>
      <c r="CL41" s="299"/>
      <c r="CM41" s="299"/>
      <c r="CN41" s="299"/>
      <c r="CO41" s="299"/>
      <c r="CP41" s="299"/>
      <c r="CQ41" s="299">
        <f>SUM(CQ38:CW39)</f>
        <v>2089</v>
      </c>
      <c r="CR41" s="299"/>
      <c r="CS41" s="299"/>
      <c r="CT41" s="299"/>
      <c r="CU41" s="299"/>
      <c r="CV41" s="299"/>
      <c r="CW41" s="299"/>
      <c r="CX41" s="299">
        <f t="shared" ref="CX41" si="212">SUM(CX38:DD39)</f>
        <v>1587</v>
      </c>
      <c r="CY41" s="299"/>
      <c r="CZ41" s="299"/>
      <c r="DA41" s="299"/>
      <c r="DB41" s="299"/>
      <c r="DC41" s="299"/>
      <c r="DD41" s="299"/>
      <c r="DE41" s="299">
        <f t="shared" ref="DE41" si="213">SUM(DE38:DK39)</f>
        <v>2024</v>
      </c>
      <c r="DF41" s="299"/>
      <c r="DG41" s="299"/>
      <c r="DH41" s="299"/>
      <c r="DI41" s="299"/>
      <c r="DJ41" s="299"/>
      <c r="DK41" s="299"/>
      <c r="DL41" s="299">
        <f t="shared" ref="DL41" si="214">SUM(DL38:DR39)</f>
        <v>2016</v>
      </c>
      <c r="DM41" s="299"/>
      <c r="DN41" s="299"/>
      <c r="DO41" s="299"/>
      <c r="DP41" s="299"/>
      <c r="DQ41" s="299"/>
      <c r="DR41" s="299"/>
      <c r="DS41" s="299">
        <f t="shared" ref="DS41" si="215">SUM(DS38:DY39)</f>
        <v>1660</v>
      </c>
      <c r="DT41" s="299"/>
      <c r="DU41" s="299"/>
      <c r="DV41" s="299"/>
      <c r="DW41" s="299"/>
      <c r="DX41" s="299"/>
      <c r="DY41" s="299"/>
      <c r="DZ41" s="299">
        <f>SUM(DZ38:EG39)</f>
        <v>2017</v>
      </c>
      <c r="EA41" s="299"/>
      <c r="EB41" s="299"/>
      <c r="EC41" s="299"/>
      <c r="ED41" s="299"/>
      <c r="EE41" s="299"/>
      <c r="EF41" s="299"/>
      <c r="EG41" s="299"/>
      <c r="EH41" s="299">
        <f>SUM(EH38:EN39)</f>
        <v>2051</v>
      </c>
      <c r="EI41" s="299"/>
      <c r="EJ41" s="299"/>
      <c r="EK41" s="299"/>
      <c r="EL41" s="299"/>
      <c r="EM41" s="299"/>
      <c r="EN41" s="299"/>
      <c r="EO41" s="116"/>
      <c r="EP41" s="299">
        <f t="shared" ref="EP41" si="216">SUM(EP38:EV39)</f>
        <v>2088</v>
      </c>
      <c r="EQ41" s="299"/>
      <c r="ER41" s="299"/>
      <c r="ES41" s="299"/>
      <c r="ET41" s="299"/>
      <c r="EU41" s="299"/>
      <c r="EV41" s="299"/>
      <c r="EW41" s="299"/>
      <c r="EX41" s="299">
        <f>SUM(EX38:FD39)</f>
        <v>1507</v>
      </c>
      <c r="EY41" s="299"/>
      <c r="EZ41" s="299"/>
      <c r="FA41" s="299"/>
      <c r="FB41" s="299"/>
      <c r="FC41" s="299"/>
      <c r="FD41" s="299"/>
      <c r="FE41" s="116"/>
      <c r="FF41" s="299">
        <f t="shared" ref="FF41" si="217">SUM(FF38:FL39)</f>
        <v>1032</v>
      </c>
      <c r="FG41" s="299"/>
      <c r="FH41" s="299"/>
      <c r="FI41" s="299"/>
      <c r="FJ41" s="299"/>
      <c r="FK41" s="299"/>
      <c r="FL41" s="299"/>
      <c r="FM41" s="299">
        <f>SUM(FM38:FS39)</f>
        <v>1426</v>
      </c>
      <c r="FN41" s="299"/>
      <c r="FO41" s="299"/>
      <c r="FP41" s="299"/>
      <c r="FQ41" s="299"/>
      <c r="FR41" s="299"/>
      <c r="FS41" s="299"/>
      <c r="FT41" s="116"/>
      <c r="FU41" s="299">
        <f>SUM(FU38:GA39)</f>
        <v>1894</v>
      </c>
      <c r="FV41" s="299"/>
      <c r="FW41" s="299"/>
      <c r="FX41" s="299"/>
      <c r="FY41" s="299"/>
      <c r="FZ41" s="299"/>
      <c r="GA41" s="299"/>
      <c r="GB41" s="299">
        <f t="shared" ref="GB41" si="218">SUM(GB38:GH39)</f>
        <v>0</v>
      </c>
      <c r="GC41" s="299"/>
      <c r="GD41" s="299"/>
      <c r="GE41" s="299"/>
      <c r="GF41" s="299"/>
      <c r="GG41" s="299"/>
      <c r="GH41" s="299"/>
      <c r="GI41" s="299">
        <f>SUM(GI38:GO39)</f>
        <v>1437</v>
      </c>
      <c r="GJ41" s="299"/>
      <c r="GK41" s="299"/>
      <c r="GL41" s="299"/>
      <c r="GM41" s="299"/>
      <c r="GN41" s="299"/>
      <c r="GO41" s="299"/>
      <c r="GP41" s="299">
        <f>SUM(GP38:GV39)</f>
        <v>1107</v>
      </c>
      <c r="GQ41" s="299"/>
      <c r="GR41" s="299"/>
      <c r="GS41" s="299"/>
      <c r="GT41" s="299"/>
      <c r="GU41" s="299"/>
      <c r="GV41" s="299"/>
      <c r="GW41" s="208"/>
      <c r="GX41" s="311">
        <f t="shared" ref="GX41" si="219">SUM(GX38:HD39)</f>
        <v>1055</v>
      </c>
      <c r="GY41" s="299"/>
      <c r="GZ41" s="299"/>
      <c r="HA41" s="299"/>
      <c r="HB41" s="299"/>
      <c r="HC41" s="299"/>
      <c r="HD41" s="312"/>
      <c r="HE41" s="313">
        <f t="shared" ref="HE41" si="220">SUM(HE38:HK39)</f>
        <v>1506</v>
      </c>
      <c r="HF41" s="299"/>
      <c r="HG41" s="299"/>
      <c r="HH41" s="299"/>
      <c r="HI41" s="299"/>
      <c r="HJ41" s="299"/>
      <c r="HK41" s="312"/>
    </row>
    <row r="42" spans="1:219" ht="19.5" thickBot="1" x14ac:dyDescent="0.35">
      <c r="B42" s="14"/>
      <c r="C42" s="131"/>
      <c r="D42" s="170"/>
      <c r="E42" s="171"/>
      <c r="F42" s="171"/>
      <c r="G42" s="171"/>
      <c r="H42" s="171"/>
      <c r="I42" s="171"/>
      <c r="J42" s="171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7"/>
      <c r="BL42" s="117"/>
      <c r="BM42" s="117"/>
      <c r="BN42" s="117"/>
      <c r="BO42" s="172"/>
      <c r="BP42" s="172"/>
      <c r="BQ42" s="172"/>
      <c r="BR42" s="172"/>
      <c r="BS42" s="172"/>
      <c r="BT42" s="172"/>
      <c r="BU42" s="172"/>
      <c r="BV42" s="117"/>
      <c r="BW42" s="117"/>
      <c r="BX42" s="117"/>
      <c r="BY42" s="117"/>
      <c r="BZ42" s="117"/>
      <c r="CA42" s="117"/>
      <c r="CB42" s="117"/>
      <c r="CC42" s="117"/>
      <c r="CD42" s="117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7"/>
      <c r="DZ42" s="117"/>
      <c r="EA42" s="117"/>
      <c r="EB42" s="117"/>
      <c r="EC42" s="117"/>
      <c r="ED42" s="117"/>
      <c r="EE42" s="117"/>
      <c r="EF42" s="117"/>
      <c r="EG42" s="117"/>
      <c r="EH42" s="117"/>
      <c r="EI42" s="117"/>
      <c r="EJ42" s="117"/>
      <c r="EK42" s="117"/>
      <c r="EL42" s="117"/>
      <c r="EM42" s="117"/>
      <c r="EN42" s="117"/>
      <c r="EO42" s="117"/>
      <c r="EP42" s="117"/>
      <c r="EQ42" s="117"/>
      <c r="ER42" s="117"/>
      <c r="ES42" s="117"/>
      <c r="ET42" s="117"/>
      <c r="EU42" s="117"/>
      <c r="EV42" s="117"/>
      <c r="EW42" s="117"/>
      <c r="EX42" s="173"/>
      <c r="EY42" s="173"/>
      <c r="EZ42" s="173"/>
      <c r="FA42" s="173"/>
      <c r="FB42" s="173"/>
      <c r="FC42" s="173"/>
      <c r="FD42" s="174">
        <f>+EX36+EP36+EH36+DZ36</f>
        <v>7589</v>
      </c>
      <c r="FE42" s="173"/>
      <c r="FF42" s="173"/>
      <c r="FG42" s="173"/>
      <c r="FH42" s="173"/>
      <c r="FI42" s="173"/>
      <c r="FJ42" s="173"/>
      <c r="FK42" s="173"/>
      <c r="FL42" s="173"/>
      <c r="FM42" s="173"/>
      <c r="FN42" s="173"/>
      <c r="FO42" s="173"/>
      <c r="FP42" s="174">
        <f>+FM36-FM41</f>
        <v>-61</v>
      </c>
      <c r="FQ42" s="173"/>
      <c r="FR42" s="173"/>
      <c r="FS42" s="173"/>
      <c r="FT42" s="173"/>
      <c r="FU42" s="174">
        <f>+FU37-FU41</f>
        <v>-39</v>
      </c>
      <c r="FV42" s="173"/>
      <c r="FW42" s="173"/>
      <c r="FX42" s="174">
        <f>+FU36-FU41</f>
        <v>-28</v>
      </c>
      <c r="FY42" s="173"/>
      <c r="FZ42" s="173"/>
      <c r="GA42" s="173"/>
      <c r="GB42" s="173"/>
      <c r="GC42" s="173"/>
      <c r="GD42" s="173"/>
      <c r="GE42" s="173"/>
      <c r="GF42" s="173"/>
      <c r="GG42" s="173"/>
      <c r="GH42" s="173"/>
      <c r="GI42" s="173"/>
      <c r="GJ42" s="174">
        <f>+GI36-GI41</f>
        <v>-23</v>
      </c>
      <c r="GK42" s="174">
        <f>+GK25-GK40</f>
        <v>47</v>
      </c>
      <c r="GL42" s="174">
        <f>+GL25-GL40</f>
        <v>-64</v>
      </c>
      <c r="GM42" s="174">
        <f>+GM25-GM40</f>
        <v>-54</v>
      </c>
      <c r="GN42" s="173"/>
      <c r="GO42" s="174">
        <f>+GI36-GI41</f>
        <v>-23</v>
      </c>
      <c r="GP42" s="174">
        <f>+GO36-GO41</f>
        <v>0</v>
      </c>
      <c r="GQ42" s="174">
        <f>+GQ25-GQ40</f>
        <v>148</v>
      </c>
      <c r="GR42" s="174">
        <f>+GR25-GR40</f>
        <v>-45</v>
      </c>
      <c r="GS42" s="174">
        <f>+GS25-GS40</f>
        <v>-61</v>
      </c>
      <c r="GT42" s="174">
        <f>+GT25-GT40</f>
        <v>-48</v>
      </c>
      <c r="GU42" s="175"/>
      <c r="GV42" s="175"/>
      <c r="GW42" s="210">
        <f>GP36-GP41</f>
        <v>-6</v>
      </c>
      <c r="GX42" s="239"/>
      <c r="GY42" s="175"/>
      <c r="GZ42" s="175"/>
      <c r="HA42" s="175"/>
      <c r="HB42" s="175"/>
      <c r="HC42" s="175"/>
      <c r="HD42" s="241"/>
      <c r="HE42" s="212"/>
      <c r="HF42" s="173"/>
      <c r="HG42" s="173"/>
      <c r="HH42" s="173"/>
      <c r="HI42" s="173"/>
      <c r="HJ42" s="173"/>
      <c r="HK42" s="176"/>
    </row>
    <row r="43" spans="1:219" ht="19.5" hidden="1" customHeight="1" thickBot="1" x14ac:dyDescent="0.3">
      <c r="B43" s="111" t="s">
        <v>179</v>
      </c>
      <c r="C43" s="136"/>
      <c r="D43" s="14"/>
      <c r="E43" s="14"/>
      <c r="F43" s="14"/>
      <c r="G43" s="14"/>
      <c r="H43" s="14"/>
      <c r="I43" s="14"/>
      <c r="J43" s="14"/>
      <c r="K43" s="137" t="s">
        <v>56</v>
      </c>
      <c r="L43" s="138" t="s">
        <v>55</v>
      </c>
      <c r="M43" s="14"/>
      <c r="N43" s="14"/>
      <c r="O43" s="14"/>
      <c r="P43" s="14"/>
      <c r="Q43" s="14"/>
      <c r="R43" s="14"/>
      <c r="S43" s="14"/>
      <c r="T43" s="14"/>
      <c r="U43" s="14"/>
      <c r="V43" s="136"/>
      <c r="W43" s="14"/>
      <c r="X43" s="14"/>
      <c r="Y43" s="14"/>
      <c r="Z43" s="139" t="s">
        <v>75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0" t="s">
        <v>76</v>
      </c>
      <c r="AN43" s="141" t="s">
        <v>77</v>
      </c>
      <c r="AO43" s="14"/>
      <c r="AP43" s="14"/>
      <c r="AQ43" s="19" t="s">
        <v>80</v>
      </c>
      <c r="AR43" s="14"/>
      <c r="AS43" s="14"/>
      <c r="AT43" s="139" t="s">
        <v>81</v>
      </c>
      <c r="AU43" s="139" t="s">
        <v>82</v>
      </c>
      <c r="AV43" s="14"/>
      <c r="AW43" s="14"/>
      <c r="AX43" s="14"/>
      <c r="AY43" s="14"/>
      <c r="AZ43" s="14"/>
      <c r="BA43" s="142" t="s">
        <v>83</v>
      </c>
      <c r="BB43" s="14"/>
      <c r="BC43" s="14"/>
      <c r="BD43" s="14"/>
      <c r="BE43" s="14"/>
      <c r="BF43" s="140" t="s">
        <v>84</v>
      </c>
      <c r="BG43" s="14"/>
      <c r="BH43" s="14"/>
      <c r="BI43" s="14"/>
      <c r="BJ43" s="14"/>
      <c r="BK43" s="14"/>
      <c r="BL43" s="14"/>
      <c r="BM43" s="143" t="s">
        <v>85</v>
      </c>
      <c r="BN43" s="14"/>
      <c r="BO43" s="14"/>
      <c r="BP43" s="14"/>
      <c r="BQ43" s="14"/>
      <c r="BR43" s="14"/>
      <c r="BS43" s="14"/>
      <c r="BT43" s="144" t="s">
        <v>105</v>
      </c>
      <c r="BU43" s="14"/>
      <c r="BV43" s="14"/>
      <c r="BW43" s="14"/>
      <c r="BX43" s="143" t="s">
        <v>106</v>
      </c>
      <c r="BY43" s="14"/>
      <c r="BZ43" s="14"/>
      <c r="CA43" s="14"/>
      <c r="CB43" s="14"/>
      <c r="CC43" s="145" t="s">
        <v>108</v>
      </c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6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>
        <f>59+30</f>
        <v>89</v>
      </c>
      <c r="FH43" s="14"/>
      <c r="FI43" s="14"/>
      <c r="FJ43" s="14"/>
      <c r="FK43" s="14"/>
      <c r="FL43" s="14"/>
      <c r="FM43" s="14"/>
      <c r="FN43" s="14">
        <v>50</v>
      </c>
      <c r="FO43" s="14"/>
      <c r="FP43" s="14"/>
      <c r="FQ43" s="14">
        <v>54</v>
      </c>
      <c r="FR43" s="14"/>
      <c r="FS43" s="14"/>
      <c r="FT43" s="14"/>
      <c r="FU43" s="18">
        <v>5</v>
      </c>
      <c r="FV43" s="18">
        <v>15</v>
      </c>
      <c r="FW43" s="18"/>
      <c r="FX43" s="18"/>
      <c r="FY43" s="18"/>
      <c r="FZ43" s="18"/>
      <c r="GA43" s="18"/>
      <c r="GB43" s="18"/>
      <c r="GC43" s="18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8">
        <v>126</v>
      </c>
      <c r="GR43" s="18">
        <v>136</v>
      </c>
      <c r="GS43" s="18"/>
      <c r="GT43" s="18"/>
      <c r="GU43" s="18"/>
      <c r="GV43" s="18"/>
      <c r="GW43" s="18"/>
      <c r="GX43" s="14"/>
      <c r="GY43" s="18"/>
      <c r="GZ43" s="18"/>
      <c r="HA43" s="18"/>
      <c r="HB43" s="18"/>
      <c r="HC43" s="18"/>
      <c r="HD43" s="18"/>
      <c r="HE43" s="14"/>
      <c r="HF43" s="18"/>
      <c r="HG43" s="18"/>
      <c r="HH43" s="18"/>
      <c r="HI43" s="18"/>
      <c r="HJ43" s="18"/>
      <c r="HK43" s="18"/>
    </row>
    <row r="44" spans="1:219" ht="19.5" hidden="1" thickBot="1" x14ac:dyDescent="0.35">
      <c r="B44" s="112" t="s">
        <v>189</v>
      </c>
      <c r="C44" s="12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35">
        <f>+CC41-CC36</f>
        <v>-74</v>
      </c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7"/>
      <c r="DT44" s="147"/>
      <c r="DU44" s="147">
        <v>5</v>
      </c>
      <c r="DV44" s="147"/>
      <c r="DW44" s="147"/>
      <c r="DX44" s="147"/>
      <c r="DY44" s="147"/>
      <c r="DZ44" s="14"/>
      <c r="EA44" s="14">
        <f t="shared" ref="EA44:EF44" si="221">+EA28*7</f>
        <v>714</v>
      </c>
      <c r="EB44" s="14">
        <f t="shared" si="221"/>
        <v>721</v>
      </c>
      <c r="EC44" s="14">
        <f t="shared" si="221"/>
        <v>735</v>
      </c>
      <c r="ED44" s="14">
        <f t="shared" si="221"/>
        <v>707</v>
      </c>
      <c r="EE44" s="14">
        <f t="shared" si="221"/>
        <v>0</v>
      </c>
      <c r="EF44" s="14">
        <f t="shared" si="221"/>
        <v>0</v>
      </c>
      <c r="EG44" s="14"/>
      <c r="EH44" s="14">
        <f t="shared" ref="EH44:EN44" si="222">+EH28*7</f>
        <v>707</v>
      </c>
      <c r="EI44" s="14">
        <f t="shared" si="222"/>
        <v>714</v>
      </c>
      <c r="EJ44" s="14">
        <f t="shared" si="222"/>
        <v>700</v>
      </c>
      <c r="EK44" s="14">
        <f t="shared" si="222"/>
        <v>700</v>
      </c>
      <c r="EL44" s="14">
        <f t="shared" si="222"/>
        <v>700</v>
      </c>
      <c r="EM44" s="14">
        <f t="shared" si="222"/>
        <v>0</v>
      </c>
      <c r="EN44" s="14">
        <f t="shared" si="222"/>
        <v>0</v>
      </c>
      <c r="EO44" s="14"/>
      <c r="EP44" s="14">
        <f t="shared" ref="EP44:EV44" si="223">+EP28*7</f>
        <v>721</v>
      </c>
      <c r="EQ44" s="14">
        <f t="shared" si="223"/>
        <v>742</v>
      </c>
      <c r="ER44" s="14">
        <f t="shared" si="223"/>
        <v>707</v>
      </c>
      <c r="ES44" s="14">
        <f t="shared" si="223"/>
        <v>700</v>
      </c>
      <c r="ET44" s="14">
        <f t="shared" si="223"/>
        <v>735</v>
      </c>
      <c r="EU44" s="14">
        <f t="shared" si="223"/>
        <v>0</v>
      </c>
      <c r="EV44" s="14">
        <f t="shared" si="223"/>
        <v>0</v>
      </c>
      <c r="EW44" s="14"/>
      <c r="EX44" s="14">
        <f t="shared" ref="EX44:FD44" si="224">+EX28*7</f>
        <v>728</v>
      </c>
      <c r="EY44" s="14">
        <f t="shared" si="224"/>
        <v>665</v>
      </c>
      <c r="EZ44" s="14">
        <f t="shared" si="224"/>
        <v>686</v>
      </c>
      <c r="FA44" s="14">
        <f t="shared" si="224"/>
        <v>357</v>
      </c>
      <c r="FB44" s="14">
        <f t="shared" si="224"/>
        <v>672</v>
      </c>
      <c r="FC44" s="14">
        <f t="shared" si="224"/>
        <v>0</v>
      </c>
      <c r="FD44" s="14">
        <f t="shared" si="224"/>
        <v>0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8">
        <v>46</v>
      </c>
      <c r="GR44" s="18">
        <v>42</v>
      </c>
      <c r="GS44" s="18"/>
      <c r="GT44" s="18"/>
      <c r="GU44" s="18"/>
      <c r="GV44" s="18"/>
      <c r="GW44" s="18"/>
      <c r="GX44" s="14"/>
      <c r="GY44" s="18"/>
      <c r="GZ44" s="18"/>
      <c r="HA44" s="18"/>
      <c r="HB44" s="18"/>
      <c r="HC44" s="18"/>
      <c r="HD44" s="18"/>
      <c r="HE44" s="14"/>
      <c r="HF44" s="18"/>
      <c r="HG44" s="18"/>
      <c r="HH44" s="18"/>
      <c r="HI44" s="18"/>
      <c r="HJ44" s="18"/>
      <c r="HK44" s="18"/>
    </row>
    <row r="45" spans="1:219" ht="24" x14ac:dyDescent="0.3">
      <c r="B45" s="68"/>
      <c r="C45" s="13"/>
      <c r="CF45" s="72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GQ45" s="24"/>
      <c r="GR45" s="24"/>
      <c r="GS45" s="24"/>
      <c r="GT45" s="24"/>
      <c r="GU45" s="24"/>
      <c r="GV45" s="24"/>
      <c r="GW45" s="24"/>
      <c r="GX45" s="190" t="s">
        <v>191</v>
      </c>
      <c r="GY45" s="24"/>
      <c r="GZ45" s="24"/>
      <c r="HA45" s="24"/>
      <c r="HB45" s="24" t="s">
        <v>190</v>
      </c>
      <c r="HC45" s="24"/>
      <c r="HE45" s="190" t="s">
        <v>192</v>
      </c>
    </row>
    <row r="46" spans="1:219" x14ac:dyDescent="0.25">
      <c r="CD46">
        <v>19</v>
      </c>
      <c r="CF46">
        <v>90</v>
      </c>
      <c r="CI46">
        <f>198/60</f>
        <v>3.3</v>
      </c>
    </row>
    <row r="47" spans="1:219" ht="21" x14ac:dyDescent="0.25">
      <c r="B47" s="91" t="s">
        <v>155</v>
      </c>
      <c r="CE47">
        <v>79</v>
      </c>
      <c r="CF47">
        <v>10</v>
      </c>
    </row>
    <row r="48" spans="1:219" ht="15" customHeight="1" x14ac:dyDescent="0.25">
      <c r="B48" s="321" t="s">
        <v>141</v>
      </c>
      <c r="C48" s="315" t="s">
        <v>143</v>
      </c>
      <c r="DZ48" s="314">
        <f t="shared" ref="DZ48:EF48" si="225">+DZ2</f>
        <v>45781</v>
      </c>
      <c r="EA48" s="314">
        <f t="shared" si="225"/>
        <v>45782</v>
      </c>
      <c r="EB48" s="314">
        <f t="shared" si="225"/>
        <v>45783</v>
      </c>
      <c r="EC48" s="314">
        <f t="shared" si="225"/>
        <v>45784</v>
      </c>
      <c r="ED48" s="314">
        <f t="shared" si="225"/>
        <v>45785</v>
      </c>
      <c r="EE48" s="314">
        <f t="shared" si="225"/>
        <v>45786</v>
      </c>
      <c r="EF48" s="314">
        <f t="shared" si="225"/>
        <v>45787</v>
      </c>
      <c r="EG48" s="315" t="s">
        <v>142</v>
      </c>
      <c r="EH48" s="314">
        <f t="shared" ref="EH48:EN48" si="226">+EH2</f>
        <v>45788</v>
      </c>
      <c r="EI48" s="314">
        <f t="shared" si="226"/>
        <v>45789</v>
      </c>
      <c r="EJ48" s="314">
        <f t="shared" si="226"/>
        <v>45790</v>
      </c>
      <c r="EK48" s="314">
        <f t="shared" si="226"/>
        <v>45791</v>
      </c>
      <c r="EL48" s="314">
        <f t="shared" si="226"/>
        <v>45792</v>
      </c>
      <c r="EM48" s="314">
        <f t="shared" si="226"/>
        <v>45793</v>
      </c>
      <c r="EN48" s="314">
        <f t="shared" si="226"/>
        <v>45794</v>
      </c>
      <c r="EO48" s="315" t="s">
        <v>144</v>
      </c>
      <c r="EP48" s="314">
        <f t="shared" ref="EP48:EV48" si="227">+EP2</f>
        <v>45795</v>
      </c>
      <c r="EQ48" s="314">
        <f t="shared" si="227"/>
        <v>45796</v>
      </c>
      <c r="ER48" s="314">
        <f t="shared" si="227"/>
        <v>45797</v>
      </c>
      <c r="ES48" s="314">
        <f t="shared" si="227"/>
        <v>45798</v>
      </c>
      <c r="ET48" s="314">
        <f t="shared" si="227"/>
        <v>45799</v>
      </c>
      <c r="EU48" s="314">
        <f t="shared" si="227"/>
        <v>45800</v>
      </c>
      <c r="EV48" s="314">
        <f t="shared" si="227"/>
        <v>45801</v>
      </c>
      <c r="EW48" s="315" t="s">
        <v>145</v>
      </c>
      <c r="EX48" s="314">
        <f t="shared" ref="EX48:FD48" si="228">+EX2</f>
        <v>45802</v>
      </c>
      <c r="EY48" s="314">
        <f t="shared" si="228"/>
        <v>45803</v>
      </c>
      <c r="EZ48" s="314">
        <f t="shared" si="228"/>
        <v>45804</v>
      </c>
      <c r="FA48" s="314">
        <f t="shared" si="228"/>
        <v>45805</v>
      </c>
      <c r="FB48" s="314">
        <f t="shared" si="228"/>
        <v>45806</v>
      </c>
      <c r="FC48" s="314">
        <f t="shared" si="228"/>
        <v>45807</v>
      </c>
      <c r="FD48" s="314">
        <f t="shared" si="228"/>
        <v>45808</v>
      </c>
      <c r="FE48" s="315" t="s">
        <v>156</v>
      </c>
    </row>
    <row r="49" spans="2:161" ht="15" customHeight="1" x14ac:dyDescent="0.25">
      <c r="B49" s="321"/>
      <c r="C49" s="315"/>
      <c r="DZ49" s="315"/>
      <c r="EA49" s="315"/>
      <c r="EB49" s="315"/>
      <c r="EC49" s="315"/>
      <c r="ED49" s="315"/>
      <c r="EE49" s="315"/>
      <c r="EF49" s="315"/>
      <c r="EG49" s="315"/>
      <c r="EH49" s="315"/>
      <c r="EI49" s="315"/>
      <c r="EJ49" s="315"/>
      <c r="EK49" s="315"/>
      <c r="EL49" s="315"/>
      <c r="EM49" s="315"/>
      <c r="EN49" s="315"/>
      <c r="EO49" s="315"/>
      <c r="EP49" s="315"/>
      <c r="EQ49" s="315"/>
      <c r="ER49" s="315"/>
      <c r="ES49" s="315"/>
      <c r="ET49" s="315"/>
      <c r="EU49" s="315"/>
      <c r="EV49" s="315"/>
      <c r="EW49" s="315"/>
      <c r="EX49" s="315"/>
      <c r="EY49" s="315"/>
      <c r="EZ49" s="315"/>
      <c r="FA49" s="315"/>
      <c r="FB49" s="315"/>
      <c r="FC49" s="315"/>
      <c r="FD49" s="315"/>
      <c r="FE49" s="315"/>
    </row>
    <row r="50" spans="2:161" ht="15" customHeight="1" x14ac:dyDescent="0.25">
      <c r="B50" s="320" t="s">
        <v>146</v>
      </c>
      <c r="C50" s="316">
        <v>2150</v>
      </c>
      <c r="DZ50" s="316">
        <f t="shared" ref="DZ50:EU50" si="229">+DZ25</f>
        <v>408</v>
      </c>
      <c r="EA50" s="316">
        <f t="shared" si="229"/>
        <v>418</v>
      </c>
      <c r="EB50" s="316">
        <f t="shared" si="229"/>
        <v>411</v>
      </c>
      <c r="EC50" s="316">
        <f t="shared" si="229"/>
        <v>409</v>
      </c>
      <c r="ED50" s="316">
        <f t="shared" si="229"/>
        <v>389</v>
      </c>
      <c r="EE50" s="316">
        <f t="shared" si="229"/>
        <v>0</v>
      </c>
      <c r="EF50" s="316">
        <f t="shared" si="229"/>
        <v>0</v>
      </c>
      <c r="EG50" s="316">
        <f t="shared" si="229"/>
        <v>2035</v>
      </c>
      <c r="EH50" s="316">
        <f t="shared" si="229"/>
        <v>401</v>
      </c>
      <c r="EI50" s="316">
        <f t="shared" si="229"/>
        <v>422</v>
      </c>
      <c r="EJ50" s="316">
        <f t="shared" si="229"/>
        <v>403</v>
      </c>
      <c r="EK50" s="316">
        <f t="shared" si="229"/>
        <v>396</v>
      </c>
      <c r="EL50" s="316">
        <f t="shared" si="229"/>
        <v>418</v>
      </c>
      <c r="EM50" s="316">
        <f t="shared" si="229"/>
        <v>0</v>
      </c>
      <c r="EN50" s="316">
        <f t="shared" si="229"/>
        <v>0</v>
      </c>
      <c r="EO50" s="316">
        <f t="shared" si="229"/>
        <v>2040</v>
      </c>
      <c r="EP50" s="316">
        <f t="shared" si="229"/>
        <v>390</v>
      </c>
      <c r="EQ50" s="316">
        <f t="shared" si="229"/>
        <v>415</v>
      </c>
      <c r="ER50" s="316">
        <f t="shared" si="229"/>
        <v>419</v>
      </c>
      <c r="ES50" s="316">
        <f t="shared" si="229"/>
        <v>408</v>
      </c>
      <c r="ET50" s="316">
        <f t="shared" si="229"/>
        <v>420</v>
      </c>
      <c r="EU50" s="316">
        <f t="shared" si="229"/>
        <v>0</v>
      </c>
      <c r="EV50" s="316">
        <v>0</v>
      </c>
      <c r="EW50" s="316">
        <f>+SUM(EP50:EV51)</f>
        <v>2052</v>
      </c>
      <c r="EX50" s="316">
        <f t="shared" ref="EX50:FD50" si="230">+EX25</f>
        <v>350</v>
      </c>
      <c r="EY50" s="316">
        <f t="shared" si="230"/>
        <v>260</v>
      </c>
      <c r="EZ50" s="316">
        <f t="shared" si="230"/>
        <v>320</v>
      </c>
      <c r="FA50" s="316">
        <f t="shared" si="230"/>
        <v>157</v>
      </c>
      <c r="FB50" s="316">
        <f t="shared" si="230"/>
        <v>375</v>
      </c>
      <c r="FC50" s="316">
        <f t="shared" si="230"/>
        <v>0</v>
      </c>
      <c r="FD50" s="316">
        <f t="shared" si="230"/>
        <v>0</v>
      </c>
      <c r="FE50" s="316">
        <f>+FF25</f>
        <v>0</v>
      </c>
    </row>
    <row r="51" spans="2:161" ht="15" customHeight="1" x14ac:dyDescent="0.25">
      <c r="B51" s="320"/>
      <c r="C51" s="316"/>
      <c r="DZ51" s="316"/>
      <c r="EA51" s="316"/>
      <c r="EB51" s="316"/>
      <c r="EC51" s="316"/>
      <c r="ED51" s="316"/>
      <c r="EE51" s="316"/>
      <c r="EF51" s="316"/>
      <c r="EG51" s="316"/>
      <c r="EH51" s="316"/>
      <c r="EI51" s="316"/>
      <c r="EJ51" s="316"/>
      <c r="EK51" s="316"/>
      <c r="EL51" s="316"/>
      <c r="EM51" s="316"/>
      <c r="EN51" s="316"/>
      <c r="EO51" s="316"/>
      <c r="EP51" s="316"/>
      <c r="EQ51" s="316"/>
      <c r="ER51" s="316"/>
      <c r="ES51" s="316"/>
      <c r="ET51" s="316"/>
      <c r="EU51" s="316"/>
      <c r="EV51" s="316"/>
      <c r="EW51" s="316"/>
      <c r="EX51" s="316"/>
      <c r="EY51" s="316"/>
      <c r="EZ51" s="316"/>
      <c r="FA51" s="316"/>
      <c r="FB51" s="316"/>
      <c r="FC51" s="316"/>
      <c r="FD51" s="316"/>
      <c r="FE51" s="316"/>
    </row>
    <row r="52" spans="2:161" ht="15.75" customHeight="1" x14ac:dyDescent="0.25">
      <c r="B52" s="315" t="s">
        <v>147</v>
      </c>
      <c r="C52" s="317">
        <v>1505</v>
      </c>
      <c r="DZ52" s="316"/>
      <c r="EA52" s="316"/>
      <c r="EB52" s="317">
        <v>189.34</v>
      </c>
      <c r="EC52" s="316">
        <v>96.12</v>
      </c>
      <c r="ED52" s="317">
        <v>30.5</v>
      </c>
      <c r="EE52" s="316">
        <v>993.15</v>
      </c>
      <c r="EF52" s="316"/>
      <c r="EG52" s="317">
        <f>SUM(DZ52:EF53)</f>
        <v>1309.1100000000001</v>
      </c>
      <c r="EH52" s="316" t="s">
        <v>148</v>
      </c>
      <c r="EI52" s="316" t="s">
        <v>148</v>
      </c>
      <c r="EJ52" s="317">
        <v>33.82</v>
      </c>
      <c r="EK52" s="316" t="s">
        <v>148</v>
      </c>
      <c r="EL52" s="317">
        <v>59.04</v>
      </c>
      <c r="EM52" s="316" t="s">
        <v>148</v>
      </c>
      <c r="EN52" s="316" t="s">
        <v>148</v>
      </c>
      <c r="EO52" s="317">
        <f>SUM(EH52:EN53)</f>
        <v>92.86</v>
      </c>
      <c r="EP52" s="316"/>
      <c r="EQ52" s="316"/>
      <c r="ER52" s="317"/>
      <c r="ES52" s="316"/>
      <c r="ET52" s="317"/>
      <c r="EU52" s="316"/>
      <c r="EV52" s="316"/>
      <c r="EW52" s="317">
        <f>SUM(EP52:EV53)</f>
        <v>0</v>
      </c>
      <c r="EX52" s="316"/>
      <c r="EY52" s="316"/>
      <c r="EZ52" s="317"/>
      <c r="FA52" s="316"/>
      <c r="FB52" s="317"/>
      <c r="FC52" s="316"/>
      <c r="FD52" s="316"/>
      <c r="FE52" s="317">
        <f>SUM(EX52:FD53)</f>
        <v>0</v>
      </c>
    </row>
    <row r="53" spans="2:161" ht="15" customHeight="1" x14ac:dyDescent="0.25">
      <c r="B53" s="315"/>
      <c r="C53" s="317"/>
      <c r="DZ53" s="316"/>
      <c r="EA53" s="316"/>
      <c r="EB53" s="317"/>
      <c r="EC53" s="316"/>
      <c r="ED53" s="317"/>
      <c r="EE53" s="316"/>
      <c r="EF53" s="316"/>
      <c r="EG53" s="317"/>
      <c r="EH53" s="316"/>
      <c r="EI53" s="316"/>
      <c r="EJ53" s="317"/>
      <c r="EK53" s="316"/>
      <c r="EL53" s="317"/>
      <c r="EM53" s="316"/>
      <c r="EN53" s="316"/>
      <c r="EO53" s="317"/>
      <c r="EP53" s="316"/>
      <c r="EQ53" s="316"/>
      <c r="ER53" s="317"/>
      <c r="ES53" s="316"/>
      <c r="ET53" s="317"/>
      <c r="EU53" s="316"/>
      <c r="EV53" s="316"/>
      <c r="EW53" s="317"/>
      <c r="EX53" s="316"/>
      <c r="EY53" s="316"/>
      <c r="EZ53" s="317"/>
      <c r="FA53" s="316"/>
      <c r="FB53" s="317"/>
      <c r="FC53" s="316"/>
      <c r="FD53" s="316"/>
      <c r="FE53" s="317"/>
    </row>
    <row r="54" spans="2:161" ht="15" customHeight="1" x14ac:dyDescent="0.25">
      <c r="B54" s="315" t="s">
        <v>149</v>
      </c>
      <c r="C54" s="318">
        <v>0.63</v>
      </c>
      <c r="DZ54" s="318">
        <f t="shared" ref="DZ54:FD54" si="231">+DZ27</f>
        <v>0.57820929070929072</v>
      </c>
      <c r="EA54" s="318">
        <f t="shared" si="231"/>
        <v>0.55616246498599442</v>
      </c>
      <c r="EB54" s="318">
        <f t="shared" si="231"/>
        <v>0.54152661064425767</v>
      </c>
      <c r="EC54" s="318">
        <f t="shared" si="231"/>
        <v>0.52910830999066294</v>
      </c>
      <c r="ED54" s="318">
        <f t="shared" si="231"/>
        <v>0.52332492997198876</v>
      </c>
      <c r="EE54" s="318">
        <f t="shared" si="231"/>
        <v>0</v>
      </c>
      <c r="EF54" s="318">
        <f t="shared" si="231"/>
        <v>0</v>
      </c>
      <c r="EG54" s="318">
        <f t="shared" si="231"/>
        <v>0.5456663212604389</v>
      </c>
      <c r="EH54" s="318">
        <f t="shared" si="231"/>
        <v>0.54048320979335129</v>
      </c>
      <c r="EI54" s="318">
        <f t="shared" si="231"/>
        <v>0.56359126984126984</v>
      </c>
      <c r="EJ54" s="318">
        <f t="shared" si="231"/>
        <v>0.54764194139194133</v>
      </c>
      <c r="EK54" s="318">
        <f t="shared" si="231"/>
        <v>0.53741987179487172</v>
      </c>
      <c r="EL54" s="318">
        <f t="shared" si="231"/>
        <v>0.56884729853479854</v>
      </c>
      <c r="EM54" s="318">
        <f t="shared" si="231"/>
        <v>0</v>
      </c>
      <c r="EN54" s="318">
        <f t="shared" si="231"/>
        <v>0</v>
      </c>
      <c r="EO54" s="318">
        <f t="shared" si="231"/>
        <v>0.55159671827124657</v>
      </c>
      <c r="EP54" s="318">
        <f t="shared" si="231"/>
        <v>0.51407547169811318</v>
      </c>
      <c r="EQ54" s="318">
        <f t="shared" si="231"/>
        <v>0.53116096866096862</v>
      </c>
      <c r="ER54" s="318">
        <f t="shared" si="231"/>
        <v>0.56292156862745091</v>
      </c>
      <c r="ES54" s="318">
        <f t="shared" si="231"/>
        <v>0.55481913919413917</v>
      </c>
      <c r="ET54" s="318">
        <f t="shared" si="231"/>
        <v>0.54278327804271198</v>
      </c>
      <c r="EU54" s="318">
        <f t="shared" si="231"/>
        <v>0</v>
      </c>
      <c r="EV54" s="318">
        <f t="shared" si="231"/>
        <v>0</v>
      </c>
      <c r="EW54" s="318">
        <f t="shared" si="231"/>
        <v>0.54115208524467673</v>
      </c>
      <c r="EX54" s="318">
        <f t="shared" si="231"/>
        <v>0.45795412504624489</v>
      </c>
      <c r="EY54" s="318">
        <f t="shared" si="231"/>
        <v>0.37131933890577506</v>
      </c>
      <c r="EZ54" s="318">
        <f t="shared" si="231"/>
        <v>0.44519940476190478</v>
      </c>
      <c r="FA54" s="318">
        <f t="shared" si="231"/>
        <v>0.41778711484593839</v>
      </c>
      <c r="FB54" s="318">
        <f t="shared" si="231"/>
        <v>0.50757142857142856</v>
      </c>
      <c r="FC54" s="318">
        <f t="shared" si="231"/>
        <v>0</v>
      </c>
      <c r="FD54" s="318">
        <f t="shared" si="231"/>
        <v>0</v>
      </c>
      <c r="FE54" s="318">
        <f>+FF27</f>
        <v>0</v>
      </c>
    </row>
    <row r="55" spans="2:161" ht="15" customHeight="1" x14ac:dyDescent="0.25">
      <c r="B55" s="315"/>
      <c r="C55" s="318"/>
      <c r="DZ55" s="318"/>
      <c r="EA55" s="318"/>
      <c r="EB55" s="318"/>
      <c r="EC55" s="318"/>
      <c r="ED55" s="318"/>
      <c r="EE55" s="318"/>
      <c r="EF55" s="318"/>
      <c r="EG55" s="318"/>
      <c r="EH55" s="318"/>
      <c r="EI55" s="318"/>
      <c r="EJ55" s="318"/>
      <c r="EK55" s="318"/>
      <c r="EL55" s="318"/>
      <c r="EM55" s="318"/>
      <c r="EN55" s="318"/>
      <c r="EO55" s="318"/>
      <c r="EP55" s="318"/>
      <c r="EQ55" s="318"/>
      <c r="ER55" s="318"/>
      <c r="ES55" s="318"/>
      <c r="ET55" s="318"/>
      <c r="EU55" s="318"/>
      <c r="EV55" s="318"/>
      <c r="EW55" s="318"/>
      <c r="EX55" s="318"/>
      <c r="EY55" s="318"/>
      <c r="EZ55" s="318"/>
      <c r="FA55" s="318"/>
      <c r="FB55" s="318"/>
      <c r="FC55" s="318"/>
      <c r="FD55" s="318"/>
      <c r="FE55" s="318"/>
    </row>
    <row r="56" spans="2:161" ht="15" customHeight="1" x14ac:dyDescent="0.25">
      <c r="B56" s="315" t="s">
        <v>150</v>
      </c>
      <c r="C56" s="318">
        <v>0.1</v>
      </c>
      <c r="DZ56" s="318">
        <f t="shared" ref="DZ56:FD56" si="232">+DZ30</f>
        <v>0.12037037037037036</v>
      </c>
      <c r="EA56" s="318">
        <f t="shared" si="232"/>
        <v>9.2592592592592587E-2</v>
      </c>
      <c r="EB56" s="318">
        <f t="shared" si="232"/>
        <v>8.3333333333333329E-2</v>
      </c>
      <c r="EC56" s="318">
        <f t="shared" si="232"/>
        <v>6.4814814814814811E-2</v>
      </c>
      <c r="ED56" s="318">
        <f t="shared" si="232"/>
        <v>0.10185185185185185</v>
      </c>
      <c r="EE56" s="318">
        <f t="shared" si="232"/>
        <v>0</v>
      </c>
      <c r="EF56" s="318">
        <f t="shared" si="232"/>
        <v>0</v>
      </c>
      <c r="EG56" s="318">
        <f t="shared" si="232"/>
        <v>9.2592592592592587E-2</v>
      </c>
      <c r="EH56" s="318">
        <f t="shared" si="232"/>
        <v>0.10185185185185185</v>
      </c>
      <c r="EI56" s="318">
        <f t="shared" si="232"/>
        <v>8.3333333333333329E-2</v>
      </c>
      <c r="EJ56" s="318">
        <f t="shared" si="232"/>
        <v>9.2592592592592587E-2</v>
      </c>
      <c r="EK56" s="318">
        <f t="shared" si="232"/>
        <v>0.10185185185185185</v>
      </c>
      <c r="EL56" s="318">
        <f t="shared" si="232"/>
        <v>0.10185185185185185</v>
      </c>
      <c r="EM56" s="318">
        <f t="shared" si="232"/>
        <v>0</v>
      </c>
      <c r="EN56" s="318">
        <f t="shared" si="232"/>
        <v>0</v>
      </c>
      <c r="EO56" s="318">
        <f t="shared" si="232"/>
        <v>9.6296296296296297E-2</v>
      </c>
      <c r="EP56" s="318">
        <f t="shared" si="232"/>
        <v>9.2592592592592587E-2</v>
      </c>
      <c r="EQ56" s="318">
        <f t="shared" si="232"/>
        <v>4.6296296296296294E-2</v>
      </c>
      <c r="ER56" s="318">
        <f t="shared" si="232"/>
        <v>9.2592592592592587E-2</v>
      </c>
      <c r="ES56" s="318">
        <f t="shared" si="232"/>
        <v>0.10185185185185185</v>
      </c>
      <c r="ET56" s="318">
        <f t="shared" si="232"/>
        <v>5.5555555555555552E-2</v>
      </c>
      <c r="EU56" s="318">
        <f t="shared" si="232"/>
        <v>0</v>
      </c>
      <c r="EV56" s="318">
        <f t="shared" si="232"/>
        <v>0</v>
      </c>
      <c r="EW56" s="318">
        <f t="shared" si="232"/>
        <v>7.7777777777777765E-2</v>
      </c>
      <c r="EX56" s="318">
        <f t="shared" si="232"/>
        <v>6.4814814814814811E-2</v>
      </c>
      <c r="EY56" s="318">
        <f t="shared" si="232"/>
        <v>0.1388888888888889</v>
      </c>
      <c r="EZ56" s="318">
        <f t="shared" si="232"/>
        <v>0.1111111111111111</v>
      </c>
      <c r="FA56" s="318">
        <f t="shared" si="232"/>
        <v>3.7037037037037035E-2</v>
      </c>
      <c r="FB56" s="318">
        <f t="shared" si="232"/>
        <v>0.12962962962962962</v>
      </c>
      <c r="FC56" s="318">
        <f t="shared" si="232"/>
        <v>0</v>
      </c>
      <c r="FD56" s="318">
        <f t="shared" si="232"/>
        <v>0</v>
      </c>
      <c r="FE56" s="318">
        <f>+FF30</f>
        <v>0</v>
      </c>
    </row>
    <row r="57" spans="2:161" ht="15" customHeight="1" x14ac:dyDescent="0.25">
      <c r="B57" s="315"/>
      <c r="C57" s="318"/>
      <c r="DZ57" s="318"/>
      <c r="EA57" s="318"/>
      <c r="EB57" s="318"/>
      <c r="EC57" s="318"/>
      <c r="ED57" s="318"/>
      <c r="EE57" s="318"/>
      <c r="EF57" s="318"/>
      <c r="EG57" s="318"/>
      <c r="EH57" s="318"/>
      <c r="EI57" s="318"/>
      <c r="EJ57" s="318"/>
      <c r="EK57" s="318"/>
      <c r="EL57" s="318"/>
      <c r="EM57" s="318"/>
      <c r="EN57" s="318"/>
      <c r="EO57" s="318"/>
      <c r="EP57" s="318"/>
      <c r="EQ57" s="318"/>
      <c r="ER57" s="318"/>
      <c r="ES57" s="318"/>
      <c r="ET57" s="318"/>
      <c r="EU57" s="318"/>
      <c r="EV57" s="318"/>
      <c r="EW57" s="318"/>
      <c r="EX57" s="318"/>
      <c r="EY57" s="318"/>
      <c r="EZ57" s="318"/>
      <c r="FA57" s="318"/>
      <c r="FB57" s="318"/>
      <c r="FC57" s="318"/>
      <c r="FD57" s="318"/>
      <c r="FE57" s="318"/>
    </row>
    <row r="58" spans="2:161" ht="15" customHeight="1" x14ac:dyDescent="0.25">
      <c r="B58" s="315" t="s">
        <v>151</v>
      </c>
      <c r="C58" s="316" t="s">
        <v>148</v>
      </c>
      <c r="DZ58" s="316" t="s">
        <v>148</v>
      </c>
      <c r="EA58" s="316" t="s">
        <v>148</v>
      </c>
      <c r="EB58" s="316" t="s">
        <v>148</v>
      </c>
      <c r="EC58" s="316" t="s">
        <v>148</v>
      </c>
      <c r="ED58" s="316" t="s">
        <v>148</v>
      </c>
      <c r="EE58" s="316" t="s">
        <v>148</v>
      </c>
      <c r="EF58" s="316" t="s">
        <v>148</v>
      </c>
      <c r="EG58" s="316">
        <f>SUM(DZ58:EF59)</f>
        <v>0</v>
      </c>
      <c r="EH58" s="316" t="s">
        <v>152</v>
      </c>
      <c r="EI58" s="316" t="s">
        <v>152</v>
      </c>
      <c r="EJ58" s="316" t="s">
        <v>152</v>
      </c>
      <c r="EK58" s="316" t="s">
        <v>152</v>
      </c>
      <c r="EL58" s="316" t="s">
        <v>152</v>
      </c>
      <c r="EM58" s="316" t="s">
        <v>152</v>
      </c>
      <c r="EN58" s="316" t="s">
        <v>152</v>
      </c>
      <c r="EO58" s="316">
        <f>SUM(EH58:EN59)</f>
        <v>0</v>
      </c>
      <c r="EP58" s="316"/>
      <c r="EQ58" s="316"/>
      <c r="ER58" s="316"/>
      <c r="ES58" s="316"/>
      <c r="ET58" s="316"/>
      <c r="EU58" s="316"/>
      <c r="EV58" s="316"/>
      <c r="EW58" s="316">
        <f>SUM(EP58:EV59)</f>
        <v>0</v>
      </c>
      <c r="EX58" s="316"/>
      <c r="EY58" s="316"/>
      <c r="EZ58" s="316"/>
      <c r="FA58" s="316"/>
      <c r="FB58" s="316"/>
      <c r="FC58" s="316"/>
      <c r="FD58" s="316"/>
      <c r="FE58" s="316">
        <f>SUM(EX58:FD59)</f>
        <v>0</v>
      </c>
    </row>
    <row r="59" spans="2:161" ht="15" customHeight="1" x14ac:dyDescent="0.25">
      <c r="B59" s="315"/>
      <c r="C59" s="316"/>
      <c r="DZ59" s="316"/>
      <c r="EA59" s="316"/>
      <c r="EB59" s="316"/>
      <c r="EC59" s="316"/>
      <c r="ED59" s="316"/>
      <c r="EE59" s="316"/>
      <c r="EF59" s="316"/>
      <c r="EG59" s="316"/>
      <c r="EH59" s="316"/>
      <c r="EI59" s="316"/>
      <c r="EJ59" s="316"/>
      <c r="EK59" s="316"/>
      <c r="EL59" s="316"/>
      <c r="EM59" s="316"/>
      <c r="EN59" s="316"/>
      <c r="EO59" s="316"/>
      <c r="EP59" s="316"/>
      <c r="EQ59" s="316"/>
      <c r="ER59" s="316"/>
      <c r="ES59" s="316"/>
      <c r="ET59" s="316"/>
      <c r="EU59" s="316"/>
      <c r="EV59" s="316"/>
      <c r="EW59" s="316"/>
      <c r="EX59" s="316"/>
      <c r="EY59" s="316"/>
      <c r="EZ59" s="316"/>
      <c r="FA59" s="316"/>
      <c r="FB59" s="316"/>
      <c r="FC59" s="316"/>
      <c r="FD59" s="316"/>
      <c r="FE59" s="316"/>
    </row>
    <row r="60" spans="2:161" ht="15" customHeight="1" x14ac:dyDescent="0.25">
      <c r="B60" s="320" t="s">
        <v>153</v>
      </c>
      <c r="C60" s="319">
        <v>1.2E-2</v>
      </c>
      <c r="DZ60" s="319">
        <f>+DZ33</f>
        <v>0</v>
      </c>
      <c r="EA60" s="319">
        <f t="shared" ref="EA60:EE60" si="233">+EA33</f>
        <v>0</v>
      </c>
      <c r="EB60" s="319">
        <f t="shared" si="233"/>
        <v>0</v>
      </c>
      <c r="EC60" s="319">
        <f t="shared" si="233"/>
        <v>0</v>
      </c>
      <c r="ED60" s="319">
        <f t="shared" si="233"/>
        <v>0</v>
      </c>
      <c r="EE60" s="319">
        <f t="shared" si="233"/>
        <v>0</v>
      </c>
      <c r="EF60" s="319">
        <f t="shared" ref="EF60" si="234">+EF33</f>
        <v>0</v>
      </c>
      <c r="EG60" s="319">
        <f>+EG33</f>
        <v>2.7E-2</v>
      </c>
      <c r="EH60" s="319">
        <f>+EH33</f>
        <v>0</v>
      </c>
      <c r="EI60" s="319">
        <f t="shared" ref="EI60:EN60" si="235">+EI33</f>
        <v>0</v>
      </c>
      <c r="EJ60" s="319">
        <f t="shared" si="235"/>
        <v>0</v>
      </c>
      <c r="EK60" s="319">
        <f t="shared" si="235"/>
        <v>0</v>
      </c>
      <c r="EL60" s="319">
        <f t="shared" si="235"/>
        <v>0</v>
      </c>
      <c r="EM60" s="319">
        <f t="shared" si="235"/>
        <v>0</v>
      </c>
      <c r="EN60" s="319">
        <f t="shared" si="235"/>
        <v>0</v>
      </c>
      <c r="EO60" s="319">
        <f>+EO33</f>
        <v>0</v>
      </c>
      <c r="EP60" s="319">
        <f>+EP33</f>
        <v>0</v>
      </c>
      <c r="EQ60" s="319">
        <f t="shared" ref="EQ60:EV60" si="236">+EQ33</f>
        <v>0</v>
      </c>
      <c r="ER60" s="319">
        <f t="shared" si="236"/>
        <v>0</v>
      </c>
      <c r="ES60" s="319">
        <f t="shared" si="236"/>
        <v>0</v>
      </c>
      <c r="ET60" s="319">
        <f t="shared" si="236"/>
        <v>0</v>
      </c>
      <c r="EU60" s="319">
        <f t="shared" si="236"/>
        <v>0</v>
      </c>
      <c r="EV60" s="319">
        <f t="shared" si="236"/>
        <v>0</v>
      </c>
      <c r="EW60" s="319">
        <f>+EW33</f>
        <v>0</v>
      </c>
      <c r="EX60" s="319">
        <f>+EX33</f>
        <v>0</v>
      </c>
      <c r="EY60" s="319">
        <f t="shared" ref="EY60:FD60" si="237">+EY33</f>
        <v>0</v>
      </c>
      <c r="EZ60" s="319">
        <f t="shared" si="237"/>
        <v>0</v>
      </c>
      <c r="FA60" s="319">
        <f t="shared" si="237"/>
        <v>0</v>
      </c>
      <c r="FB60" s="319">
        <f t="shared" si="237"/>
        <v>0</v>
      </c>
      <c r="FC60" s="319">
        <f t="shared" si="237"/>
        <v>0</v>
      </c>
      <c r="FD60" s="319">
        <f t="shared" si="237"/>
        <v>0</v>
      </c>
      <c r="FE60" s="319">
        <f>+FF33</f>
        <v>0</v>
      </c>
    </row>
    <row r="61" spans="2:161" ht="15" customHeight="1" x14ac:dyDescent="0.25">
      <c r="B61" s="320"/>
      <c r="C61" s="319"/>
      <c r="DZ61" s="319"/>
      <c r="EA61" s="319"/>
      <c r="EB61" s="319"/>
      <c r="EC61" s="319"/>
      <c r="ED61" s="319"/>
      <c r="EE61" s="319"/>
      <c r="EF61" s="319"/>
      <c r="EG61" s="319"/>
      <c r="EH61" s="319"/>
      <c r="EI61" s="319"/>
      <c r="EJ61" s="319"/>
      <c r="EK61" s="319"/>
      <c r="EL61" s="319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</row>
    <row r="62" spans="2:161" ht="15" customHeight="1" x14ac:dyDescent="0.25">
      <c r="B62" s="315" t="s">
        <v>154</v>
      </c>
      <c r="C62" s="316">
        <v>0</v>
      </c>
      <c r="DZ62" s="316">
        <v>0</v>
      </c>
      <c r="EA62" s="316">
        <v>0</v>
      </c>
      <c r="EB62" s="316">
        <v>0</v>
      </c>
      <c r="EC62" s="316">
        <v>0</v>
      </c>
      <c r="ED62" s="316">
        <v>0</v>
      </c>
      <c r="EE62" s="316">
        <v>0</v>
      </c>
      <c r="EF62" s="316">
        <v>0</v>
      </c>
      <c r="EG62" s="316">
        <f>SUM(DZ62:EF63)</f>
        <v>0</v>
      </c>
      <c r="EH62" s="316">
        <v>0</v>
      </c>
      <c r="EI62" s="316">
        <v>0</v>
      </c>
      <c r="EJ62" s="316">
        <v>0</v>
      </c>
      <c r="EK62" s="316">
        <v>0</v>
      </c>
      <c r="EL62" s="316">
        <v>0</v>
      </c>
      <c r="EM62" s="316">
        <v>0</v>
      </c>
      <c r="EN62" s="316">
        <v>0</v>
      </c>
      <c r="EO62" s="316">
        <f>SUM(EH62:EN63)</f>
        <v>0</v>
      </c>
      <c r="EP62" s="316"/>
      <c r="EQ62" s="316"/>
      <c r="ER62" s="316"/>
      <c r="ES62" s="316"/>
      <c r="ET62" s="316"/>
      <c r="EU62" s="316"/>
      <c r="EV62" s="316"/>
      <c r="EW62" s="316">
        <f>SUM(EP62:EV63)</f>
        <v>0</v>
      </c>
      <c r="EX62" s="316"/>
      <c r="EY62" s="316"/>
      <c r="EZ62" s="316"/>
      <c r="FA62" s="316"/>
      <c r="FB62" s="316"/>
      <c r="FC62" s="316"/>
      <c r="FD62" s="316"/>
      <c r="FE62" s="316">
        <f>SUM(EX62:FD63)</f>
        <v>0</v>
      </c>
    </row>
    <row r="63" spans="2:161" ht="15" customHeight="1" x14ac:dyDescent="0.25">
      <c r="B63" s="315"/>
      <c r="C63" s="316"/>
      <c r="DZ63" s="316"/>
      <c r="EA63" s="316"/>
      <c r="EB63" s="316"/>
      <c r="EC63" s="316"/>
      <c r="ED63" s="316"/>
      <c r="EE63" s="316"/>
      <c r="EF63" s="316"/>
      <c r="EG63" s="316"/>
      <c r="EH63" s="316"/>
      <c r="EI63" s="316"/>
      <c r="EJ63" s="316"/>
      <c r="EK63" s="316"/>
      <c r="EL63" s="316"/>
      <c r="EM63" s="316"/>
      <c r="EN63" s="316"/>
      <c r="EO63" s="316"/>
      <c r="EP63" s="316"/>
      <c r="EQ63" s="316"/>
      <c r="ER63" s="316"/>
      <c r="ES63" s="316"/>
      <c r="ET63" s="316"/>
      <c r="EU63" s="316"/>
      <c r="EV63" s="316"/>
      <c r="EW63" s="316"/>
      <c r="EX63" s="316"/>
      <c r="EY63" s="316"/>
      <c r="EZ63" s="316"/>
      <c r="FA63" s="316"/>
      <c r="FB63" s="316"/>
      <c r="FC63" s="316"/>
      <c r="FD63" s="316"/>
      <c r="FE63" s="316"/>
    </row>
    <row r="66" spans="2:161" ht="15.75" customHeight="1" thickBot="1" x14ac:dyDescent="0.3">
      <c r="B66" s="91"/>
      <c r="DZ66" s="91" t="s">
        <v>157</v>
      </c>
      <c r="EH66" s="91" t="s">
        <v>157</v>
      </c>
      <c r="EI66" s="44"/>
      <c r="EJ66" s="44"/>
      <c r="EK66" s="44"/>
      <c r="EL66" s="44"/>
      <c r="EM66" s="44"/>
      <c r="EN66" s="44"/>
      <c r="EO66" s="44"/>
      <c r="EP66" s="91" t="s">
        <v>157</v>
      </c>
      <c r="EQ66" s="44"/>
      <c r="EX66" s="91" t="s">
        <v>157</v>
      </c>
    </row>
    <row r="67" spans="2:161" x14ac:dyDescent="0.25">
      <c r="DZ67" s="109" t="s">
        <v>158</v>
      </c>
      <c r="EA67" s="97"/>
      <c r="EB67" s="97"/>
      <c r="EC67" s="97"/>
      <c r="ED67" s="97"/>
      <c r="EE67" s="97"/>
      <c r="EF67" s="97"/>
      <c r="EG67" s="96"/>
      <c r="EH67" s="109" t="s">
        <v>158</v>
      </c>
      <c r="EI67" s="97"/>
      <c r="EJ67" s="97"/>
      <c r="EK67" s="97"/>
      <c r="EL67" s="97"/>
      <c r="EM67" s="97"/>
      <c r="EN67" s="97"/>
      <c r="EO67" s="96"/>
      <c r="EP67" s="324" t="s">
        <v>158</v>
      </c>
      <c r="EQ67" s="325"/>
      <c r="ER67" s="325"/>
      <c r="ES67" s="325"/>
      <c r="ET67" s="325"/>
      <c r="EU67" s="325"/>
      <c r="EV67" s="325"/>
      <c r="EW67" s="326"/>
      <c r="EX67" s="327"/>
      <c r="EY67" s="328"/>
      <c r="EZ67" s="328"/>
      <c r="FA67" s="328"/>
      <c r="FB67" s="328"/>
      <c r="FC67" s="328"/>
      <c r="FD67" s="328"/>
      <c r="FE67" s="329"/>
    </row>
    <row r="68" spans="2:161" ht="36.6" customHeight="1" x14ac:dyDescent="0.25">
      <c r="DZ68" s="110" t="s">
        <v>159</v>
      </c>
      <c r="EA68" s="100"/>
      <c r="EB68" s="100"/>
      <c r="EC68" s="100"/>
      <c r="ED68" s="100"/>
      <c r="EE68" s="100"/>
      <c r="EF68" s="100"/>
      <c r="EG68" s="98"/>
      <c r="EH68" s="110" t="s">
        <v>159</v>
      </c>
      <c r="EI68" s="100"/>
      <c r="EJ68" s="100"/>
      <c r="EK68" s="100"/>
      <c r="EL68" s="100"/>
      <c r="EM68" s="100"/>
      <c r="EN68" s="100"/>
      <c r="EO68" s="98"/>
      <c r="EP68" s="330" t="s">
        <v>173</v>
      </c>
      <c r="EQ68" s="331"/>
      <c r="ER68" s="331"/>
      <c r="ES68" s="331"/>
      <c r="ET68" s="331"/>
      <c r="EU68" s="331"/>
      <c r="EV68" s="331"/>
      <c r="EW68" s="332"/>
      <c r="EX68" s="99"/>
      <c r="EY68" s="100"/>
      <c r="EZ68" s="100"/>
      <c r="FA68" s="100"/>
      <c r="FB68" s="100"/>
      <c r="FC68" s="100"/>
      <c r="FD68" s="100"/>
      <c r="FE68" s="98"/>
    </row>
    <row r="69" spans="2:161" x14ac:dyDescent="0.25">
      <c r="DZ69" s="99"/>
      <c r="EA69" s="100"/>
      <c r="EB69" s="100"/>
      <c r="EC69" s="100"/>
      <c r="ED69" s="100"/>
      <c r="EE69" s="100"/>
      <c r="EF69" s="100"/>
      <c r="EG69" s="98"/>
      <c r="EH69" s="99"/>
      <c r="EI69" s="100"/>
      <c r="EJ69" s="100"/>
      <c r="EK69" s="100"/>
      <c r="EL69" s="100"/>
      <c r="EM69" s="100"/>
      <c r="EN69" s="100"/>
      <c r="EO69" s="98"/>
      <c r="EP69" s="99"/>
      <c r="EQ69" s="100"/>
      <c r="ER69" s="100"/>
      <c r="ES69" s="100"/>
      <c r="ET69" s="100"/>
      <c r="EU69" s="100"/>
      <c r="EV69" s="100"/>
      <c r="EW69" s="98"/>
      <c r="EX69" s="99"/>
      <c r="EY69" s="100"/>
      <c r="EZ69" s="100"/>
      <c r="FA69" s="100"/>
      <c r="FB69" s="100"/>
      <c r="FC69" s="100"/>
      <c r="FD69" s="100"/>
      <c r="FE69" s="98"/>
    </row>
    <row r="70" spans="2:161" x14ac:dyDescent="0.25">
      <c r="DZ70" s="99"/>
      <c r="EA70" s="100"/>
      <c r="EB70" s="100"/>
      <c r="EC70" s="100"/>
      <c r="ED70" s="100"/>
      <c r="EE70" s="100"/>
      <c r="EF70" s="100"/>
      <c r="EG70" s="98"/>
      <c r="EH70" s="99"/>
      <c r="EI70" s="100"/>
      <c r="EJ70" s="100"/>
      <c r="EK70" s="100"/>
      <c r="EL70" s="100"/>
      <c r="EM70" s="100"/>
      <c r="EN70" s="100"/>
      <c r="EO70" s="98"/>
      <c r="EP70" s="99"/>
      <c r="EQ70" s="100"/>
      <c r="ER70" s="100"/>
      <c r="ES70" s="100"/>
      <c r="ET70" s="100"/>
      <c r="EU70" s="100"/>
      <c r="EV70" s="100"/>
      <c r="EW70" s="98"/>
      <c r="EX70" s="99"/>
      <c r="EY70" s="100"/>
      <c r="EZ70" s="100"/>
      <c r="FA70" s="100"/>
      <c r="FB70" s="100"/>
      <c r="FC70" s="100"/>
      <c r="FD70" s="100"/>
      <c r="FE70" s="98"/>
    </row>
    <row r="71" spans="2:161" ht="15.75" thickBot="1" x14ac:dyDescent="0.3">
      <c r="DZ71" s="92"/>
      <c r="EA71" s="93"/>
      <c r="EB71" s="93"/>
      <c r="EC71" s="93"/>
      <c r="ED71" s="93"/>
      <c r="EE71" s="93"/>
      <c r="EF71" s="93"/>
      <c r="EG71" s="94"/>
      <c r="EH71" s="92"/>
      <c r="EI71" s="93"/>
      <c r="EJ71" s="93"/>
      <c r="EK71" s="93"/>
      <c r="EL71" s="93"/>
      <c r="EM71" s="93"/>
      <c r="EN71" s="93"/>
      <c r="EO71" s="94"/>
      <c r="EP71" s="92"/>
      <c r="EQ71" s="93"/>
      <c r="ER71" s="93"/>
      <c r="ES71" s="93"/>
      <c r="ET71" s="93"/>
      <c r="EU71" s="93"/>
      <c r="EV71" s="93"/>
      <c r="EW71" s="94"/>
      <c r="EX71" s="92"/>
      <c r="EY71" s="93"/>
      <c r="EZ71" s="93"/>
      <c r="FA71" s="93"/>
      <c r="FB71" s="93"/>
      <c r="FC71" s="93"/>
      <c r="FD71" s="93"/>
      <c r="FE71" s="94"/>
    </row>
    <row r="72" spans="2:161" ht="15.75" thickBot="1" x14ac:dyDescent="0.3"/>
    <row r="73" spans="2:161" x14ac:dyDescent="0.25">
      <c r="DZ73" s="101" t="s">
        <v>160</v>
      </c>
      <c r="EA73" s="102"/>
      <c r="EB73" s="102"/>
      <c r="EC73" s="103" t="s">
        <v>161</v>
      </c>
      <c r="ED73" s="102"/>
      <c r="EE73" s="102"/>
      <c r="EF73" s="102"/>
      <c r="EG73" s="104"/>
      <c r="EH73" s="101" t="s">
        <v>160</v>
      </c>
      <c r="EI73" s="102"/>
      <c r="EJ73" s="102"/>
      <c r="EK73" s="103" t="s">
        <v>161</v>
      </c>
      <c r="EL73" s="102"/>
      <c r="EM73" s="102"/>
      <c r="EN73" s="102"/>
      <c r="EO73" s="104"/>
      <c r="EP73" s="101" t="s">
        <v>160</v>
      </c>
      <c r="EQ73" s="102"/>
      <c r="ER73" s="102"/>
      <c r="ES73" s="103" t="s">
        <v>161</v>
      </c>
      <c r="ET73" s="102"/>
      <c r="EU73" s="102"/>
      <c r="EV73" s="102"/>
      <c r="EW73" s="104"/>
      <c r="EX73" s="101" t="s">
        <v>160</v>
      </c>
      <c r="EY73" s="102"/>
      <c r="EZ73" s="102"/>
      <c r="FA73" s="103" t="s">
        <v>161</v>
      </c>
      <c r="FB73" s="102"/>
      <c r="FC73" s="102"/>
      <c r="FD73" s="102"/>
      <c r="FE73" s="104"/>
    </row>
    <row r="74" spans="2:161" x14ac:dyDescent="0.25">
      <c r="DZ74" s="105" t="s">
        <v>162</v>
      </c>
      <c r="EC74" t="s">
        <v>163</v>
      </c>
      <c r="EG74" s="106"/>
      <c r="EH74" s="105" t="s">
        <v>162</v>
      </c>
      <c r="EK74" t="s">
        <v>163</v>
      </c>
      <c r="EO74" s="106"/>
      <c r="EP74" s="105" t="s">
        <v>162</v>
      </c>
      <c r="ES74" t="s">
        <v>163</v>
      </c>
      <c r="EW74" s="106"/>
      <c r="EX74" s="105" t="s">
        <v>162</v>
      </c>
      <c r="FA74" t="s">
        <v>163</v>
      </c>
      <c r="FE74" s="106"/>
    </row>
    <row r="75" spans="2:161" x14ac:dyDescent="0.25">
      <c r="DZ75" s="105" t="s">
        <v>164</v>
      </c>
      <c r="EC75" t="s">
        <v>165</v>
      </c>
      <c r="EG75" s="106"/>
      <c r="EH75" s="105" t="s">
        <v>164</v>
      </c>
      <c r="EK75" t="s">
        <v>165</v>
      </c>
      <c r="EO75" s="106"/>
      <c r="EP75" s="105" t="s">
        <v>164</v>
      </c>
      <c r="ES75" t="s">
        <v>165</v>
      </c>
      <c r="EW75" s="106"/>
      <c r="EX75" s="105" t="s">
        <v>164</v>
      </c>
      <c r="FA75" t="s">
        <v>165</v>
      </c>
      <c r="FE75" s="106"/>
    </row>
    <row r="76" spans="2:161" ht="15.75" thickBot="1" x14ac:dyDescent="0.3">
      <c r="DZ76" s="107"/>
      <c r="EA76" s="95"/>
      <c r="EB76" s="95"/>
      <c r="EC76" s="95" t="b">
        <v>1</v>
      </c>
      <c r="ED76" s="95" t="b">
        <v>1</v>
      </c>
      <c r="EE76" s="95" t="b">
        <v>1</v>
      </c>
      <c r="EF76" s="95" t="b">
        <v>1</v>
      </c>
      <c r="EG76" s="108" t="b">
        <v>1</v>
      </c>
      <c r="EH76" s="107"/>
      <c r="EI76" s="95"/>
      <c r="EJ76" s="95"/>
      <c r="EK76" s="95" t="b">
        <v>1</v>
      </c>
      <c r="EL76" s="95" t="b">
        <v>1</v>
      </c>
      <c r="EM76" s="95" t="b">
        <v>1</v>
      </c>
      <c r="EN76" s="95" t="b">
        <v>1</v>
      </c>
      <c r="EO76" s="108" t="b">
        <v>1</v>
      </c>
      <c r="EP76" s="107"/>
      <c r="EQ76" s="95"/>
      <c r="ER76" s="95"/>
      <c r="ES76" s="95" t="b">
        <v>1</v>
      </c>
      <c r="ET76" s="95" t="b">
        <v>1</v>
      </c>
      <c r="EU76" s="95" t="b">
        <v>1</v>
      </c>
      <c r="EV76" s="95" t="b">
        <v>1</v>
      </c>
      <c r="EW76" s="108" t="b">
        <v>1</v>
      </c>
      <c r="EX76" s="107"/>
      <c r="EY76" s="95"/>
      <c r="EZ76" s="95"/>
      <c r="FA76" s="95" t="b">
        <v>1</v>
      </c>
      <c r="FB76" s="95" t="b">
        <v>1</v>
      </c>
      <c r="FC76" s="95" t="b">
        <v>1</v>
      </c>
      <c r="FD76" s="95" t="b">
        <v>1</v>
      </c>
      <c r="FE76" s="108" t="b">
        <v>1</v>
      </c>
    </row>
  </sheetData>
  <mergeCells count="398">
    <mergeCell ref="B3:B13"/>
    <mergeCell ref="B14:B24"/>
    <mergeCell ref="B25:B35"/>
    <mergeCell ref="EP67:EW67"/>
    <mergeCell ref="EX67:FE67"/>
    <mergeCell ref="EP68:EW68"/>
    <mergeCell ref="EY62:EY63"/>
    <mergeCell ref="EZ62:EZ63"/>
    <mergeCell ref="FA62:FA63"/>
    <mergeCell ref="FB62:FB63"/>
    <mergeCell ref="FC62:FC63"/>
    <mergeCell ref="FD62:FD63"/>
    <mergeCell ref="FE62:FE63"/>
    <mergeCell ref="EX62:EX63"/>
    <mergeCell ref="EW62:EW63"/>
    <mergeCell ref="EY58:EY59"/>
    <mergeCell ref="EZ58:EZ59"/>
    <mergeCell ref="FA58:FA59"/>
    <mergeCell ref="FB58:FB59"/>
    <mergeCell ref="FC58:FC59"/>
    <mergeCell ref="FD58:FD59"/>
    <mergeCell ref="FE58:FE59"/>
    <mergeCell ref="EY60:EY61"/>
    <mergeCell ref="EZ60:EZ61"/>
    <mergeCell ref="FA60:FA61"/>
    <mergeCell ref="FB60:FB61"/>
    <mergeCell ref="FC60:FC61"/>
    <mergeCell ref="FD60:FD61"/>
    <mergeCell ref="FE60:FE61"/>
    <mergeCell ref="EZ54:EZ55"/>
    <mergeCell ref="FA54:FA55"/>
    <mergeCell ref="FB54:FB55"/>
    <mergeCell ref="FC54:FC55"/>
    <mergeCell ref="FD54:FD55"/>
    <mergeCell ref="FE54:FE55"/>
    <mergeCell ref="EY56:EY57"/>
    <mergeCell ref="EZ56:EZ57"/>
    <mergeCell ref="FA56:FA57"/>
    <mergeCell ref="FB56:FB57"/>
    <mergeCell ref="FC56:FC57"/>
    <mergeCell ref="FD56:FD57"/>
    <mergeCell ref="FE56:FE57"/>
    <mergeCell ref="ED62:ED63"/>
    <mergeCell ref="EE62:EE63"/>
    <mergeCell ref="EP60:EP61"/>
    <mergeCell ref="EP62:EP63"/>
    <mergeCell ref="EQ62:EQ63"/>
    <mergeCell ref="ER62:ER63"/>
    <mergeCell ref="ES62:ES63"/>
    <mergeCell ref="ET62:ET63"/>
    <mergeCell ref="EU62:EU63"/>
    <mergeCell ref="EV62:EV63"/>
    <mergeCell ref="EO60:EO61"/>
    <mergeCell ref="EN62:EN63"/>
    <mergeCell ref="EI62:EI63"/>
    <mergeCell ref="EJ62:EJ63"/>
    <mergeCell ref="EK62:EK63"/>
    <mergeCell ref="EL62:EL63"/>
    <mergeCell ref="EM62:EM63"/>
    <mergeCell ref="EY48:EY49"/>
    <mergeCell ref="EZ48:EZ49"/>
    <mergeCell ref="FA48:FA49"/>
    <mergeCell ref="FB48:FB49"/>
    <mergeCell ref="FC48:FC49"/>
    <mergeCell ref="FD48:FD49"/>
    <mergeCell ref="FE48:FE49"/>
    <mergeCell ref="EY50:EY51"/>
    <mergeCell ref="EZ50:EZ51"/>
    <mergeCell ref="FA50:FA51"/>
    <mergeCell ref="FB50:FB51"/>
    <mergeCell ref="FC50:FC51"/>
    <mergeCell ref="FD50:FD51"/>
    <mergeCell ref="FE50:FE51"/>
    <mergeCell ref="EY52:EY53"/>
    <mergeCell ref="EZ52:EZ53"/>
    <mergeCell ref="FA52:FA53"/>
    <mergeCell ref="FB52:FB53"/>
    <mergeCell ref="FC52:FC53"/>
    <mergeCell ref="FD52:FD53"/>
    <mergeCell ref="FE52:FE53"/>
    <mergeCell ref="EY54:EY55"/>
    <mergeCell ref="B48:B49"/>
    <mergeCell ref="B50:B51"/>
    <mergeCell ref="B52:B53"/>
    <mergeCell ref="B54:B55"/>
    <mergeCell ref="EX54:EX55"/>
    <mergeCell ref="EW54:EW55"/>
    <mergeCell ref="EB54:EB55"/>
    <mergeCell ref="EC54:EC55"/>
    <mergeCell ref="ED54:ED55"/>
    <mergeCell ref="EE54:EE55"/>
    <mergeCell ref="EN54:EN55"/>
    <mergeCell ref="EI54:EI55"/>
    <mergeCell ref="EJ54:EJ55"/>
    <mergeCell ref="EK54:EK55"/>
    <mergeCell ref="EL54:EL55"/>
    <mergeCell ref="EM54:EM55"/>
    <mergeCell ref="B56:B57"/>
    <mergeCell ref="B58:B59"/>
    <mergeCell ref="B60:B61"/>
    <mergeCell ref="B62:B63"/>
    <mergeCell ref="EH48:EH49"/>
    <mergeCell ref="EH50:EH51"/>
    <mergeCell ref="EH52:EH53"/>
    <mergeCell ref="EH54:EH55"/>
    <mergeCell ref="EH56:EH57"/>
    <mergeCell ref="EH58:EH59"/>
    <mergeCell ref="EH60:EH61"/>
    <mergeCell ref="EH62:EH63"/>
    <mergeCell ref="EG62:EG63"/>
    <mergeCell ref="C62:C63"/>
    <mergeCell ref="DZ62:DZ63"/>
    <mergeCell ref="EA62:EA63"/>
    <mergeCell ref="EB62:EB63"/>
    <mergeCell ref="EC62:EC63"/>
    <mergeCell ref="EF62:EF63"/>
    <mergeCell ref="C58:C59"/>
    <mergeCell ref="EG60:EG61"/>
    <mergeCell ref="C54:C55"/>
    <mergeCell ref="DZ54:DZ55"/>
    <mergeCell ref="EA54:EA55"/>
    <mergeCell ref="EO62:EO63"/>
    <mergeCell ref="EX58:EX59"/>
    <mergeCell ref="EW58:EW59"/>
    <mergeCell ref="C60:C61"/>
    <mergeCell ref="DZ60:DZ61"/>
    <mergeCell ref="EA60:EA61"/>
    <mergeCell ref="EB60:EB61"/>
    <mergeCell ref="EC60:EC61"/>
    <mergeCell ref="ED60:ED61"/>
    <mergeCell ref="EE60:EE61"/>
    <mergeCell ref="EN60:EN61"/>
    <mergeCell ref="EI60:EI61"/>
    <mergeCell ref="EJ60:EJ61"/>
    <mergeCell ref="EK60:EK61"/>
    <mergeCell ref="EL60:EL61"/>
    <mergeCell ref="EM60:EM61"/>
    <mergeCell ref="EF60:EF61"/>
    <mergeCell ref="EQ60:EQ61"/>
    <mergeCell ref="ER60:ER61"/>
    <mergeCell ref="ES60:ES61"/>
    <mergeCell ref="ET60:ET61"/>
    <mergeCell ref="EU60:EU61"/>
    <mergeCell ref="EV60:EV61"/>
    <mergeCell ref="EX60:EX61"/>
    <mergeCell ref="EW60:EW61"/>
    <mergeCell ref="DZ58:DZ59"/>
    <mergeCell ref="EA58:EA59"/>
    <mergeCell ref="EB58:EB59"/>
    <mergeCell ref="EC58:EC59"/>
    <mergeCell ref="ED58:ED59"/>
    <mergeCell ref="EE58:EE59"/>
    <mergeCell ref="EN58:EN59"/>
    <mergeCell ref="EI58:EI59"/>
    <mergeCell ref="EJ58:EJ59"/>
    <mergeCell ref="EK58:EK59"/>
    <mergeCell ref="EL58:EL59"/>
    <mergeCell ref="EM58:EM59"/>
    <mergeCell ref="EO58:EO59"/>
    <mergeCell ref="EF58:EF59"/>
    <mergeCell ref="EV56:EV57"/>
    <mergeCell ref="EG58:EG59"/>
    <mergeCell ref="EP58:EP59"/>
    <mergeCell ref="EQ58:EQ59"/>
    <mergeCell ref="ER58:ER59"/>
    <mergeCell ref="ES58:ES59"/>
    <mergeCell ref="ET58:ET59"/>
    <mergeCell ref="EU58:EU59"/>
    <mergeCell ref="EV58:EV59"/>
    <mergeCell ref="EX56:EX57"/>
    <mergeCell ref="EW56:EW57"/>
    <mergeCell ref="EG56:EG57"/>
    <mergeCell ref="C56:C57"/>
    <mergeCell ref="DZ56:DZ57"/>
    <mergeCell ref="EA56:EA57"/>
    <mergeCell ref="EB56:EB57"/>
    <mergeCell ref="EC56:EC57"/>
    <mergeCell ref="ED56:ED57"/>
    <mergeCell ref="EE56:EE57"/>
    <mergeCell ref="EN56:EN57"/>
    <mergeCell ref="EI56:EI57"/>
    <mergeCell ref="EJ56:EJ57"/>
    <mergeCell ref="EK56:EK57"/>
    <mergeCell ref="EL56:EL57"/>
    <mergeCell ref="EM56:EM57"/>
    <mergeCell ref="EO56:EO57"/>
    <mergeCell ref="EF56:EF57"/>
    <mergeCell ref="EP56:EP57"/>
    <mergeCell ref="EQ56:EQ57"/>
    <mergeCell ref="ER56:ER57"/>
    <mergeCell ref="ES56:ES57"/>
    <mergeCell ref="ET56:ET57"/>
    <mergeCell ref="EU56:EU57"/>
    <mergeCell ref="EO54:EO55"/>
    <mergeCell ref="EF54:EF55"/>
    <mergeCell ref="EP52:EP53"/>
    <mergeCell ref="EQ52:EQ53"/>
    <mergeCell ref="ER52:ER53"/>
    <mergeCell ref="ES52:ES53"/>
    <mergeCell ref="ET52:ET53"/>
    <mergeCell ref="EU52:EU53"/>
    <mergeCell ref="EV52:EV53"/>
    <mergeCell ref="EG54:EG55"/>
    <mergeCell ref="EP54:EP55"/>
    <mergeCell ref="EQ54:EQ55"/>
    <mergeCell ref="ER54:ER55"/>
    <mergeCell ref="ES54:ES55"/>
    <mergeCell ref="ET54:ET55"/>
    <mergeCell ref="EU54:EU55"/>
    <mergeCell ref="EV54:EV55"/>
    <mergeCell ref="EX50:EX51"/>
    <mergeCell ref="EW50:EW51"/>
    <mergeCell ref="EX52:EX53"/>
    <mergeCell ref="EW52:EW53"/>
    <mergeCell ref="EG52:EG53"/>
    <mergeCell ref="C52:C53"/>
    <mergeCell ref="DZ52:DZ53"/>
    <mergeCell ref="EA52:EA53"/>
    <mergeCell ref="EB52:EB53"/>
    <mergeCell ref="EC52:EC53"/>
    <mergeCell ref="ED52:ED53"/>
    <mergeCell ref="EE52:EE53"/>
    <mergeCell ref="EN52:EN53"/>
    <mergeCell ref="EI52:EI53"/>
    <mergeCell ref="EJ52:EJ53"/>
    <mergeCell ref="EK52:EK53"/>
    <mergeCell ref="EL52:EL53"/>
    <mergeCell ref="EM52:EM53"/>
    <mergeCell ref="EO52:EO53"/>
    <mergeCell ref="EF52:EF53"/>
    <mergeCell ref="C50:C51"/>
    <mergeCell ref="DZ50:DZ51"/>
    <mergeCell ref="EA50:EA51"/>
    <mergeCell ref="EB50:EB51"/>
    <mergeCell ref="EC50:EC51"/>
    <mergeCell ref="ED50:ED51"/>
    <mergeCell ref="EE50:EE51"/>
    <mergeCell ref="EN50:EN51"/>
    <mergeCell ref="EI50:EI51"/>
    <mergeCell ref="EJ50:EJ51"/>
    <mergeCell ref="EK50:EK51"/>
    <mergeCell ref="EL50:EL51"/>
    <mergeCell ref="EM50:EM51"/>
    <mergeCell ref="EO50:EO51"/>
    <mergeCell ref="EF50:EF51"/>
    <mergeCell ref="EP48:EP49"/>
    <mergeCell ref="EQ48:EQ49"/>
    <mergeCell ref="ER48:ER49"/>
    <mergeCell ref="ES48:ES49"/>
    <mergeCell ref="ET48:ET49"/>
    <mergeCell ref="EU48:EU49"/>
    <mergeCell ref="EV48:EV49"/>
    <mergeCell ref="EG50:EG51"/>
    <mergeCell ref="EP50:EP51"/>
    <mergeCell ref="EQ50:EQ51"/>
    <mergeCell ref="ER50:ER51"/>
    <mergeCell ref="ES50:ES51"/>
    <mergeCell ref="ET50:ET51"/>
    <mergeCell ref="EU50:EU51"/>
    <mergeCell ref="EV50:EV51"/>
    <mergeCell ref="EX48:EX49"/>
    <mergeCell ref="EW48:EW49"/>
    <mergeCell ref="EG48:EG49"/>
    <mergeCell ref="C48:C49"/>
    <mergeCell ref="DZ48:DZ49"/>
    <mergeCell ref="EA48:EA49"/>
    <mergeCell ref="EB48:EB49"/>
    <mergeCell ref="EC48:EC49"/>
    <mergeCell ref="ED48:ED49"/>
    <mergeCell ref="EE48:EE49"/>
    <mergeCell ref="EN48:EN49"/>
    <mergeCell ref="EI48:EI49"/>
    <mergeCell ref="EJ48:EJ49"/>
    <mergeCell ref="EK48:EK49"/>
    <mergeCell ref="EL48:EL49"/>
    <mergeCell ref="EM48:EM49"/>
    <mergeCell ref="EO48:EO49"/>
    <mergeCell ref="EF48:EF49"/>
    <mergeCell ref="GB41:GH41"/>
    <mergeCell ref="GI41:GO41"/>
    <mergeCell ref="GP41:GV41"/>
    <mergeCell ref="GX41:HD41"/>
    <mergeCell ref="HE41:HK41"/>
    <mergeCell ref="GB37:GH37"/>
    <mergeCell ref="GI37:GO37"/>
    <mergeCell ref="GP37:GV37"/>
    <mergeCell ref="GX37:HD37"/>
    <mergeCell ref="HE37:HK37"/>
    <mergeCell ref="GB36:GH36"/>
    <mergeCell ref="GI36:GO36"/>
    <mergeCell ref="GP36:GV36"/>
    <mergeCell ref="GX36:HD36"/>
    <mergeCell ref="HE36:HK36"/>
    <mergeCell ref="GB1:GH1"/>
    <mergeCell ref="GI1:GO1"/>
    <mergeCell ref="GP1:GV1"/>
    <mergeCell ref="GX1:HD1"/>
    <mergeCell ref="HE1:HK1"/>
    <mergeCell ref="FF37:FL37"/>
    <mergeCell ref="FM37:FS37"/>
    <mergeCell ref="FU37:GA37"/>
    <mergeCell ref="EX41:FD41"/>
    <mergeCell ref="FF41:FL41"/>
    <mergeCell ref="FM41:FS41"/>
    <mergeCell ref="FU41:GA41"/>
    <mergeCell ref="EX1:FD1"/>
    <mergeCell ref="FF1:FL1"/>
    <mergeCell ref="FM1:FS1"/>
    <mergeCell ref="FU1:GA1"/>
    <mergeCell ref="EX36:FD36"/>
    <mergeCell ref="FF36:FL36"/>
    <mergeCell ref="FM36:FS36"/>
    <mergeCell ref="FU36:GA36"/>
    <mergeCell ref="EX37:FD37"/>
    <mergeCell ref="EP36:EW36"/>
    <mergeCell ref="EP37:EW37"/>
    <mergeCell ref="EP41:EW41"/>
    <mergeCell ref="EH1:EO1"/>
    <mergeCell ref="DZ1:EG1"/>
    <mergeCell ref="CJ36:CP36"/>
    <mergeCell ref="BV1:CB1"/>
    <mergeCell ref="BV36:CB36"/>
    <mergeCell ref="BV37:CB37"/>
    <mergeCell ref="BV41:CB41"/>
    <mergeCell ref="CC1:CI1"/>
    <mergeCell ref="CC36:CI36"/>
    <mergeCell ref="CC37:CI37"/>
    <mergeCell ref="CC41:CI41"/>
    <mergeCell ref="CQ36:CW36"/>
    <mergeCell ref="CQ37:CW37"/>
    <mergeCell ref="CQ41:CW41"/>
    <mergeCell ref="CJ37:CP37"/>
    <mergeCell ref="CQ1:CW1"/>
    <mergeCell ref="CX36:DD36"/>
    <mergeCell ref="CX41:DD41"/>
    <mergeCell ref="CX37:DD37"/>
    <mergeCell ref="DE1:DK1"/>
    <mergeCell ref="DL1:DR1"/>
    <mergeCell ref="AT37:AZ37"/>
    <mergeCell ref="R1:X1"/>
    <mergeCell ref="R36:X36"/>
    <mergeCell ref="R37:X37"/>
    <mergeCell ref="D1:J1"/>
    <mergeCell ref="D36:J36"/>
    <mergeCell ref="D37:J37"/>
    <mergeCell ref="D41:J41"/>
    <mergeCell ref="EP1:EV1"/>
    <mergeCell ref="CX1:DD1"/>
    <mergeCell ref="CJ41:CP41"/>
    <mergeCell ref="CJ1:CP1"/>
    <mergeCell ref="BA1:BG1"/>
    <mergeCell ref="BA36:BG36"/>
    <mergeCell ref="BA37:BG37"/>
    <mergeCell ref="BA41:BG41"/>
    <mergeCell ref="BO1:BU1"/>
    <mergeCell ref="BH1:BN1"/>
    <mergeCell ref="BH36:BN36"/>
    <mergeCell ref="BH37:BN37"/>
    <mergeCell ref="BH41:BN41"/>
    <mergeCell ref="BO41:BU41"/>
    <mergeCell ref="BO36:BU36"/>
    <mergeCell ref="BO37:BU37"/>
    <mergeCell ref="R41:X41"/>
    <mergeCell ref="K41:Q41"/>
    <mergeCell ref="K1:Q1"/>
    <mergeCell ref="K36:Q36"/>
    <mergeCell ref="K37:Q37"/>
    <mergeCell ref="DS1:DY1"/>
    <mergeCell ref="DE36:DK36"/>
    <mergeCell ref="DL37:DR37"/>
    <mergeCell ref="DS37:DY37"/>
    <mergeCell ref="Y1:AE1"/>
    <mergeCell ref="Y36:AE36"/>
    <mergeCell ref="Y37:AE37"/>
    <mergeCell ref="AT1:AZ1"/>
    <mergeCell ref="Y41:AE41"/>
    <mergeCell ref="AM41:AS41"/>
    <mergeCell ref="AF1:AL1"/>
    <mergeCell ref="AF36:AL36"/>
    <mergeCell ref="AF37:AL37"/>
    <mergeCell ref="AF41:AL41"/>
    <mergeCell ref="AM1:AS1"/>
    <mergeCell ref="AM36:AS36"/>
    <mergeCell ref="AM37:AS37"/>
    <mergeCell ref="AT41:AZ41"/>
    <mergeCell ref="AT36:AZ36"/>
    <mergeCell ref="EH41:EN41"/>
    <mergeCell ref="DZ37:EG37"/>
    <mergeCell ref="DL36:DR36"/>
    <mergeCell ref="DS36:DY36"/>
    <mergeCell ref="DZ36:EG36"/>
    <mergeCell ref="DE37:DK37"/>
    <mergeCell ref="DE41:DK41"/>
    <mergeCell ref="DL41:DR41"/>
    <mergeCell ref="DS41:DY41"/>
    <mergeCell ref="DZ41:EG41"/>
    <mergeCell ref="EH37:EO37"/>
    <mergeCell ref="EH36:EO36"/>
  </mergeCells>
  <phoneticPr fontId="4" type="noConversion"/>
  <pageMargins left="0.7" right="0.7" top="0.75" bottom="0.75" header="0.3" footer="0.3"/>
  <pageSetup paperSize="9" orientation="portrait" r:id="rId1"/>
  <ignoredErrors>
    <ignoredError sqref="BU18:BU19 BU10 BU7:BU8 BU29:BU32 BO27:CA27 CB29:CB32 CB18:CB21 CB7:CB10 CD5:CE5 CC27:CF27 CI29:CI32 CG29 CH27 CK16 CJ27:CO27 CP18 CN5 CP7 CP29:CP32 CQ27 CP10 CG5 CB5 BU5 CG14:CG16 CI14:CI16 CB14:CB16 BU16 CG25:CG27 CI25:CI27 CB25:CB26 EB8 CI7:CI11 CG7:CG11 CI18:CI22 CG18:CG22 HE30" formula="1"/>
    <ignoredError sqref="CC21" evalError="1"/>
    <ignoredError sqref="DE16" emptyCellReferenc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B16D-854E-4806-AE76-BDCCE596505F}">
  <dimension ref="A2:HS22"/>
  <sheetViews>
    <sheetView zoomScale="110" zoomScaleNormal="110" workbookViewId="0">
      <pane xSplit="94" ySplit="4" topLeftCell="GY5" activePane="bottomRight" state="frozen"/>
      <selection pane="topRight" activeCell="CQ1" sqref="CQ1"/>
      <selection pane="bottomLeft" activeCell="A5" sqref="A5"/>
      <selection pane="bottomRight" activeCell="HC16" sqref="HC16"/>
    </sheetView>
  </sheetViews>
  <sheetFormatPr defaultRowHeight="15" x14ac:dyDescent="0.25"/>
  <cols>
    <col min="1" max="1" width="18.7109375" customWidth="1"/>
    <col min="2" max="2" width="18.7109375" style="24" customWidth="1"/>
    <col min="3" max="3" width="21.85546875" customWidth="1"/>
    <col min="4" max="17" width="10.42578125" hidden="1" customWidth="1"/>
    <col min="18" max="18" width="10.5703125" hidden="1" customWidth="1"/>
    <col min="19" max="42" width="10.42578125" hidden="1" customWidth="1"/>
    <col min="43" max="45" width="10.5703125" hidden="1" customWidth="1"/>
    <col min="46" max="94" width="10.42578125" hidden="1" customWidth="1"/>
    <col min="95" max="115" width="10.42578125" bestFit="1" customWidth="1"/>
    <col min="116" max="122" width="10.42578125" hidden="1" customWidth="1"/>
    <col min="123" max="136" width="10.42578125" bestFit="1" customWidth="1"/>
    <col min="137" max="137" width="10.85546875" customWidth="1"/>
    <col min="138" max="138" width="11" customWidth="1"/>
    <col min="139" max="139" width="11.28515625" customWidth="1"/>
    <col min="140" max="143" width="10.42578125" bestFit="1" customWidth="1"/>
    <col min="144" max="144" width="11.85546875" customWidth="1"/>
    <col min="145" max="145" width="10.42578125" bestFit="1" customWidth="1"/>
    <col min="158" max="164" width="10.42578125" bestFit="1" customWidth="1"/>
    <col min="169" max="169" width="10.42578125" bestFit="1" customWidth="1"/>
    <col min="172" max="172" width="12.5703125" customWidth="1"/>
    <col min="173" max="174" width="10.42578125" bestFit="1" customWidth="1"/>
    <col min="179" max="194" width="10.42578125" bestFit="1" customWidth="1"/>
    <col min="200" max="203" width="10.42578125" bestFit="1" customWidth="1"/>
    <col min="209" max="210" width="10.42578125" bestFit="1" customWidth="1"/>
  </cols>
  <sheetData>
    <row r="2" spans="1:227" ht="15.75" thickBot="1" x14ac:dyDescent="0.3"/>
    <row r="3" spans="1:227" ht="15.75" thickBot="1" x14ac:dyDescent="0.3">
      <c r="D3" s="336" t="s">
        <v>25</v>
      </c>
      <c r="E3" s="337"/>
      <c r="F3" s="337"/>
      <c r="G3" s="337"/>
      <c r="H3" s="337"/>
      <c r="I3" s="337"/>
      <c r="J3" s="338"/>
      <c r="K3" s="336" t="s">
        <v>26</v>
      </c>
      <c r="L3" s="337"/>
      <c r="M3" s="337"/>
      <c r="N3" s="337"/>
      <c r="O3" s="337"/>
      <c r="P3" s="337"/>
      <c r="Q3" s="338"/>
      <c r="R3" s="336" t="s">
        <v>57</v>
      </c>
      <c r="S3" s="337"/>
      <c r="T3" s="337"/>
      <c r="U3" s="337"/>
      <c r="V3" s="337"/>
      <c r="W3" s="337"/>
      <c r="X3" s="338"/>
      <c r="Y3" s="336" t="s">
        <v>59</v>
      </c>
      <c r="Z3" s="337"/>
      <c r="AA3" s="337"/>
      <c r="AB3" s="337"/>
      <c r="AC3" s="337"/>
      <c r="AD3" s="337"/>
      <c r="AE3" s="338"/>
      <c r="AF3" s="336" t="s">
        <v>60</v>
      </c>
      <c r="AG3" s="337"/>
      <c r="AH3" s="337"/>
      <c r="AI3" s="337"/>
      <c r="AJ3" s="337"/>
      <c r="AK3" s="337"/>
      <c r="AL3" s="338"/>
      <c r="AM3" s="336" t="s">
        <v>61</v>
      </c>
      <c r="AN3" s="337"/>
      <c r="AO3" s="337"/>
      <c r="AP3" s="337"/>
      <c r="AQ3" s="337"/>
      <c r="AR3" s="337"/>
      <c r="AS3" s="338"/>
      <c r="AT3" s="336" t="s">
        <v>62</v>
      </c>
      <c r="AU3" s="337"/>
      <c r="AV3" s="337"/>
      <c r="AW3" s="337"/>
      <c r="AX3" s="337"/>
      <c r="AY3" s="337"/>
      <c r="AZ3" s="338"/>
      <c r="BA3" s="336" t="s">
        <v>63</v>
      </c>
      <c r="BB3" s="337"/>
      <c r="BC3" s="337"/>
      <c r="BD3" s="337"/>
      <c r="BE3" s="337"/>
      <c r="BF3" s="337"/>
      <c r="BG3" s="338"/>
      <c r="BH3" s="336" t="s">
        <v>64</v>
      </c>
      <c r="BI3" s="337"/>
      <c r="BJ3" s="337"/>
      <c r="BK3" s="337"/>
      <c r="BL3" s="337"/>
      <c r="BM3" s="337"/>
      <c r="BN3" s="338"/>
      <c r="BO3" s="336" t="s">
        <v>65</v>
      </c>
      <c r="BP3" s="337"/>
      <c r="BQ3" s="337"/>
      <c r="BR3" s="337"/>
      <c r="BS3" s="337"/>
      <c r="BT3" s="337"/>
      <c r="BU3" s="338"/>
      <c r="BV3" s="336" t="s">
        <v>92</v>
      </c>
      <c r="BW3" s="337"/>
      <c r="BX3" s="337"/>
      <c r="BY3" s="337"/>
      <c r="BZ3" s="337"/>
      <c r="CA3" s="337"/>
      <c r="CB3" s="338"/>
      <c r="CC3" s="336" t="s">
        <v>93</v>
      </c>
      <c r="CD3" s="337"/>
      <c r="CE3" s="337"/>
      <c r="CF3" s="337"/>
      <c r="CG3" s="337"/>
      <c r="CH3" s="337"/>
      <c r="CI3" s="338"/>
      <c r="CJ3" s="336" t="s">
        <v>94</v>
      </c>
      <c r="CK3" s="337"/>
      <c r="CL3" s="337"/>
      <c r="CM3" s="337"/>
      <c r="CN3" s="337"/>
      <c r="CO3" s="337"/>
      <c r="CP3" s="338"/>
      <c r="CQ3" s="336" t="s">
        <v>95</v>
      </c>
      <c r="CR3" s="337"/>
      <c r="CS3" s="337"/>
      <c r="CT3" s="337"/>
      <c r="CU3" s="337"/>
      <c r="CV3" s="337"/>
      <c r="CW3" s="338"/>
      <c r="CX3" s="336" t="s">
        <v>96</v>
      </c>
      <c r="CY3" s="337"/>
      <c r="CZ3" s="337"/>
      <c r="DA3" s="337"/>
      <c r="DB3" s="337"/>
      <c r="DC3" s="337"/>
      <c r="DD3" s="338"/>
      <c r="DE3" s="336" t="s">
        <v>97</v>
      </c>
      <c r="DF3" s="337"/>
      <c r="DG3" s="337"/>
      <c r="DH3" s="337"/>
      <c r="DI3" s="337"/>
      <c r="DJ3" s="337"/>
      <c r="DK3" s="338"/>
      <c r="DL3" s="336" t="s">
        <v>98</v>
      </c>
      <c r="DM3" s="337"/>
      <c r="DN3" s="337"/>
      <c r="DO3" s="337"/>
      <c r="DP3" s="337"/>
      <c r="DQ3" s="337"/>
      <c r="DR3" s="338"/>
      <c r="DS3" s="336" t="s">
        <v>99</v>
      </c>
      <c r="DT3" s="337"/>
      <c r="DU3" s="337"/>
      <c r="DV3" s="337"/>
      <c r="DW3" s="337"/>
      <c r="DX3" s="337"/>
      <c r="DY3" s="338"/>
      <c r="DZ3" s="336" t="s">
        <v>100</v>
      </c>
      <c r="EA3" s="337"/>
      <c r="EB3" s="337"/>
      <c r="EC3" s="337"/>
      <c r="ED3" s="337"/>
      <c r="EE3" s="337"/>
      <c r="EF3" s="338"/>
      <c r="EG3" s="336" t="s">
        <v>101</v>
      </c>
      <c r="EH3" s="337"/>
      <c r="EI3" s="337"/>
      <c r="EJ3" s="337"/>
      <c r="EK3" s="337"/>
      <c r="EL3" s="337"/>
      <c r="EM3" s="338"/>
      <c r="EN3" s="336" t="s">
        <v>102</v>
      </c>
      <c r="EO3" s="337"/>
      <c r="EP3" s="337"/>
      <c r="EQ3" s="337"/>
      <c r="ER3" s="337"/>
      <c r="ES3" s="337"/>
      <c r="ET3" s="338"/>
      <c r="EU3" s="336" t="s">
        <v>103</v>
      </c>
      <c r="EV3" s="337"/>
      <c r="EW3" s="337"/>
      <c r="EX3" s="337"/>
      <c r="EY3" s="337"/>
      <c r="EZ3" s="337"/>
      <c r="FA3" s="338"/>
      <c r="FB3" s="336" t="s">
        <v>104</v>
      </c>
      <c r="FC3" s="337"/>
      <c r="FD3" s="337"/>
      <c r="FE3" s="337"/>
      <c r="FF3" s="337"/>
      <c r="FG3" s="337"/>
      <c r="FH3" s="338"/>
      <c r="FI3" s="336" t="s">
        <v>174</v>
      </c>
      <c r="FJ3" s="337"/>
      <c r="FK3" s="337"/>
      <c r="FL3" s="337"/>
      <c r="FM3" s="337"/>
      <c r="FN3" s="337"/>
      <c r="FO3" s="338"/>
      <c r="FP3" s="336" t="s">
        <v>175</v>
      </c>
      <c r="FQ3" s="337"/>
      <c r="FR3" s="337"/>
      <c r="FS3" s="337"/>
      <c r="FT3" s="337"/>
      <c r="FU3" s="337"/>
      <c r="FV3" s="338"/>
      <c r="FW3" s="336" t="s">
        <v>176</v>
      </c>
      <c r="FX3" s="337"/>
      <c r="FY3" s="337"/>
      <c r="FZ3" s="337"/>
      <c r="GA3" s="337"/>
      <c r="GB3" s="337"/>
      <c r="GC3" s="338"/>
      <c r="GD3" s="336" t="s">
        <v>177</v>
      </c>
      <c r="GE3" s="337"/>
      <c r="GF3" s="337"/>
      <c r="GG3" s="337"/>
      <c r="GH3" s="337"/>
      <c r="GI3" s="337"/>
      <c r="GJ3" s="338"/>
      <c r="GK3" s="336" t="s">
        <v>184</v>
      </c>
      <c r="GL3" s="337"/>
      <c r="GM3" s="337"/>
      <c r="GN3" s="337"/>
      <c r="GO3" s="337"/>
      <c r="GP3" s="337"/>
      <c r="GQ3" s="338"/>
      <c r="GR3" s="336" t="s">
        <v>185</v>
      </c>
      <c r="GS3" s="337"/>
      <c r="GT3" s="337"/>
      <c r="GU3" s="337"/>
      <c r="GV3" s="337"/>
      <c r="GW3" s="337"/>
      <c r="GX3" s="338"/>
      <c r="GY3" s="336" t="s">
        <v>186</v>
      </c>
      <c r="GZ3" s="337"/>
      <c r="HA3" s="337"/>
      <c r="HB3" s="337"/>
      <c r="HC3" s="337"/>
      <c r="HD3" s="337"/>
      <c r="HE3" s="338"/>
      <c r="HF3" s="336" t="s">
        <v>187</v>
      </c>
      <c r="HG3" s="337"/>
      <c r="HH3" s="337"/>
      <c r="HI3" s="337"/>
      <c r="HJ3" s="337"/>
      <c r="HK3" s="337"/>
      <c r="HL3" s="338"/>
      <c r="HM3" s="336" t="s">
        <v>188</v>
      </c>
      <c r="HN3" s="337"/>
      <c r="HO3" s="337"/>
      <c r="HP3" s="337"/>
      <c r="HQ3" s="337"/>
      <c r="HR3" s="337"/>
      <c r="HS3" s="338"/>
    </row>
    <row r="4" spans="1:227" ht="15.75" thickBot="1" x14ac:dyDescent="0.3">
      <c r="B4" s="24" t="s">
        <v>44</v>
      </c>
      <c r="D4" s="9">
        <v>46020</v>
      </c>
      <c r="E4" s="9">
        <v>46021</v>
      </c>
      <c r="F4" s="9">
        <v>46022</v>
      </c>
      <c r="G4" s="9">
        <v>46023</v>
      </c>
      <c r="H4" s="9">
        <v>46024</v>
      </c>
      <c r="I4" s="9">
        <v>46025</v>
      </c>
      <c r="J4" s="9">
        <v>46026</v>
      </c>
      <c r="K4" s="9">
        <v>46027</v>
      </c>
      <c r="L4" s="9">
        <v>46028</v>
      </c>
      <c r="M4" s="9">
        <v>46029</v>
      </c>
      <c r="N4" s="9">
        <v>46030</v>
      </c>
      <c r="O4" s="9">
        <v>46031</v>
      </c>
      <c r="P4" s="9">
        <v>46032</v>
      </c>
      <c r="Q4" s="9">
        <v>46033</v>
      </c>
      <c r="R4" s="9">
        <v>46034</v>
      </c>
      <c r="S4" s="9">
        <v>46035</v>
      </c>
      <c r="T4" s="9">
        <v>46036</v>
      </c>
      <c r="U4" s="9">
        <v>46037</v>
      </c>
      <c r="V4" s="9">
        <v>46038</v>
      </c>
      <c r="W4" s="9">
        <v>46039</v>
      </c>
      <c r="X4" s="9">
        <v>46040</v>
      </c>
      <c r="Y4" s="9">
        <v>46041</v>
      </c>
      <c r="Z4" s="9">
        <v>46042</v>
      </c>
      <c r="AA4" s="9">
        <v>46043</v>
      </c>
      <c r="AB4" s="9">
        <v>46044</v>
      </c>
      <c r="AC4" s="9">
        <v>46045</v>
      </c>
      <c r="AD4" s="9">
        <v>46046</v>
      </c>
      <c r="AE4" s="9">
        <v>46047</v>
      </c>
      <c r="AF4" s="9">
        <v>46048</v>
      </c>
      <c r="AG4" s="9">
        <v>46049</v>
      </c>
      <c r="AH4" s="9">
        <v>46050</v>
      </c>
      <c r="AI4" s="9">
        <v>46051</v>
      </c>
      <c r="AJ4" s="9">
        <v>46052</v>
      </c>
      <c r="AK4" s="9">
        <v>46053</v>
      </c>
      <c r="AL4" s="9">
        <v>46054</v>
      </c>
      <c r="AM4" s="9">
        <v>46055</v>
      </c>
      <c r="AN4" s="9">
        <v>46056</v>
      </c>
      <c r="AO4" s="9">
        <v>46057</v>
      </c>
      <c r="AP4" s="9">
        <v>46058</v>
      </c>
      <c r="AQ4" s="9">
        <v>46059</v>
      </c>
      <c r="AR4" s="9">
        <v>46060</v>
      </c>
      <c r="AS4" s="9">
        <v>46061</v>
      </c>
      <c r="AT4" s="9">
        <v>46062</v>
      </c>
      <c r="AU4" s="9">
        <v>46063</v>
      </c>
      <c r="AV4" s="9">
        <v>46064</v>
      </c>
      <c r="AW4" s="9">
        <v>46065</v>
      </c>
      <c r="AX4" s="9">
        <v>46066</v>
      </c>
      <c r="AY4" s="9">
        <v>46067</v>
      </c>
      <c r="AZ4" s="9">
        <v>46068</v>
      </c>
      <c r="BA4" s="9">
        <v>46069</v>
      </c>
      <c r="BB4" s="9">
        <v>46070</v>
      </c>
      <c r="BC4" s="9">
        <v>46071</v>
      </c>
      <c r="BD4" s="9">
        <v>46072</v>
      </c>
      <c r="BE4" s="9">
        <v>46073</v>
      </c>
      <c r="BF4" s="9">
        <v>46074</v>
      </c>
      <c r="BG4" s="9">
        <v>46075</v>
      </c>
      <c r="BH4" s="9">
        <v>46076</v>
      </c>
      <c r="BI4" s="9">
        <v>46077</v>
      </c>
      <c r="BJ4" s="9">
        <v>46078</v>
      </c>
      <c r="BK4" s="9">
        <v>46079</v>
      </c>
      <c r="BL4" s="9">
        <v>46080</v>
      </c>
      <c r="BM4" s="9">
        <v>46081</v>
      </c>
      <c r="BN4" s="9">
        <v>46082</v>
      </c>
      <c r="BO4" s="9">
        <v>46083</v>
      </c>
      <c r="BP4" s="9">
        <v>46084</v>
      </c>
      <c r="BQ4" s="9">
        <v>46085</v>
      </c>
      <c r="BR4" s="9">
        <v>46086</v>
      </c>
      <c r="BS4" s="9">
        <v>46087</v>
      </c>
      <c r="BT4" s="9">
        <v>46088</v>
      </c>
      <c r="BU4" s="9">
        <v>46089</v>
      </c>
      <c r="BV4" s="9">
        <v>46090</v>
      </c>
      <c r="BW4" s="9">
        <v>46091</v>
      </c>
      <c r="BX4" s="9">
        <v>46092</v>
      </c>
      <c r="BY4" s="9">
        <v>46093</v>
      </c>
      <c r="BZ4" s="9">
        <v>46094</v>
      </c>
      <c r="CA4" s="9">
        <v>46095</v>
      </c>
      <c r="CB4" s="9">
        <v>46096</v>
      </c>
      <c r="CC4" s="9">
        <v>46097</v>
      </c>
      <c r="CD4" s="9">
        <v>46098</v>
      </c>
      <c r="CE4" s="9">
        <v>46099</v>
      </c>
      <c r="CF4" s="9">
        <v>46100</v>
      </c>
      <c r="CG4" s="9">
        <v>46101</v>
      </c>
      <c r="CH4" s="9">
        <v>46102</v>
      </c>
      <c r="CI4" s="9">
        <v>46103</v>
      </c>
      <c r="CJ4" s="9">
        <v>46104</v>
      </c>
      <c r="CK4" s="9">
        <v>46105</v>
      </c>
      <c r="CL4" s="9">
        <v>46106</v>
      </c>
      <c r="CM4" s="9">
        <v>46107</v>
      </c>
      <c r="CN4" s="9">
        <v>46108</v>
      </c>
      <c r="CO4" s="9">
        <v>46109</v>
      </c>
      <c r="CP4" s="9">
        <v>46110</v>
      </c>
      <c r="CQ4" s="9">
        <v>46111</v>
      </c>
      <c r="CR4" s="9">
        <v>46112</v>
      </c>
      <c r="CS4" s="9">
        <v>46113</v>
      </c>
      <c r="CT4" s="9">
        <v>46114</v>
      </c>
      <c r="CU4" s="9">
        <v>46115</v>
      </c>
      <c r="CV4" s="9">
        <v>46116</v>
      </c>
      <c r="CW4" s="9">
        <v>46117</v>
      </c>
      <c r="CX4" s="9">
        <v>46118</v>
      </c>
      <c r="CY4" s="9">
        <v>46119</v>
      </c>
      <c r="CZ4" s="9">
        <v>46120</v>
      </c>
      <c r="DA4" s="9">
        <v>46121</v>
      </c>
      <c r="DB4" s="9">
        <v>46122</v>
      </c>
      <c r="DC4" s="9">
        <v>46123</v>
      </c>
      <c r="DD4" s="9">
        <v>46124</v>
      </c>
      <c r="DE4" s="9">
        <v>46125</v>
      </c>
      <c r="DF4" s="9">
        <v>46126</v>
      </c>
      <c r="DG4" s="9">
        <v>46127</v>
      </c>
      <c r="DH4" s="9">
        <v>46128</v>
      </c>
      <c r="DI4" s="9">
        <v>46129</v>
      </c>
      <c r="DJ4" s="9">
        <v>46130</v>
      </c>
      <c r="DK4" s="9">
        <v>46131</v>
      </c>
      <c r="DL4" s="9">
        <v>46132</v>
      </c>
      <c r="DM4" s="9">
        <v>46133</v>
      </c>
      <c r="DN4" s="9">
        <v>46134</v>
      </c>
      <c r="DO4" s="9">
        <v>46135</v>
      </c>
      <c r="DP4" s="9">
        <v>46136</v>
      </c>
      <c r="DQ4" s="9">
        <v>46137</v>
      </c>
      <c r="DR4" s="9">
        <v>46138</v>
      </c>
      <c r="DS4" s="9">
        <v>46139</v>
      </c>
      <c r="DT4" s="9">
        <v>46140</v>
      </c>
      <c r="DU4" s="9">
        <v>46141</v>
      </c>
      <c r="DV4" s="9">
        <v>46142</v>
      </c>
      <c r="DW4" s="9">
        <v>46143</v>
      </c>
      <c r="DX4" s="9">
        <v>46144</v>
      </c>
      <c r="DY4" s="9">
        <v>46145</v>
      </c>
      <c r="DZ4" s="9">
        <v>46146</v>
      </c>
      <c r="EA4" s="9">
        <v>46147</v>
      </c>
      <c r="EB4" s="9">
        <v>46148</v>
      </c>
      <c r="EC4" s="9">
        <v>46149</v>
      </c>
      <c r="ED4" s="9">
        <v>46150</v>
      </c>
      <c r="EE4" s="9">
        <v>46151</v>
      </c>
      <c r="EF4" s="9">
        <v>46152</v>
      </c>
      <c r="EG4" s="9">
        <v>46153</v>
      </c>
      <c r="EH4" s="9">
        <v>46154</v>
      </c>
      <c r="EI4" s="9">
        <v>46155</v>
      </c>
      <c r="EJ4" s="9">
        <v>46156</v>
      </c>
      <c r="EK4" s="9">
        <v>46157</v>
      </c>
      <c r="EL4" s="9">
        <v>46158</v>
      </c>
      <c r="EM4" s="9">
        <v>46159</v>
      </c>
      <c r="EN4" s="9">
        <v>46160</v>
      </c>
      <c r="EO4" s="9">
        <v>46161</v>
      </c>
      <c r="EP4" s="9">
        <v>46162</v>
      </c>
      <c r="EQ4" s="9">
        <v>46163</v>
      </c>
      <c r="ER4" s="9">
        <v>46164</v>
      </c>
      <c r="ES4" s="9">
        <v>46165</v>
      </c>
      <c r="ET4" s="9">
        <v>46166</v>
      </c>
      <c r="EU4" s="9">
        <v>46167</v>
      </c>
      <c r="EV4" s="9">
        <v>46168</v>
      </c>
      <c r="EW4" s="9">
        <v>46169</v>
      </c>
      <c r="EX4" s="9">
        <v>46170</v>
      </c>
      <c r="EY4" s="9">
        <v>46171</v>
      </c>
      <c r="EZ4" s="9">
        <v>46172</v>
      </c>
      <c r="FA4" s="9">
        <v>46173</v>
      </c>
      <c r="FB4" s="9">
        <v>46174</v>
      </c>
      <c r="FC4" s="9">
        <v>46175</v>
      </c>
      <c r="FD4" s="9">
        <v>46176</v>
      </c>
      <c r="FE4" s="9">
        <v>46177</v>
      </c>
      <c r="FF4" s="9">
        <v>46178</v>
      </c>
      <c r="FG4" s="9">
        <v>46179</v>
      </c>
      <c r="FH4" s="9">
        <v>46180</v>
      </c>
      <c r="FI4" s="9">
        <v>46181</v>
      </c>
      <c r="FJ4" s="9">
        <v>46182</v>
      </c>
      <c r="FK4" s="9">
        <v>46183</v>
      </c>
      <c r="FL4" s="9">
        <v>46184</v>
      </c>
      <c r="FM4" s="9">
        <v>46185</v>
      </c>
      <c r="FN4" s="9">
        <v>46186</v>
      </c>
      <c r="FO4" s="9">
        <v>46187</v>
      </c>
      <c r="FP4" s="9">
        <v>46188</v>
      </c>
      <c r="FQ4" s="9">
        <v>46189</v>
      </c>
      <c r="FR4" s="9">
        <v>46190</v>
      </c>
      <c r="FS4" s="9">
        <v>46191</v>
      </c>
      <c r="FT4" s="9">
        <v>46192</v>
      </c>
      <c r="FU4" s="9">
        <v>46193</v>
      </c>
      <c r="FV4" s="9">
        <v>46194</v>
      </c>
      <c r="FW4" s="9">
        <v>46195</v>
      </c>
      <c r="FX4" s="9">
        <v>46196</v>
      </c>
      <c r="FY4" s="9">
        <v>46197</v>
      </c>
      <c r="FZ4" s="9">
        <v>46198</v>
      </c>
      <c r="GA4" s="9">
        <v>46199</v>
      </c>
      <c r="GB4" s="9">
        <v>46200</v>
      </c>
      <c r="GC4" s="9">
        <v>46201</v>
      </c>
      <c r="GD4" s="9">
        <v>46202</v>
      </c>
      <c r="GE4" s="9">
        <v>46203</v>
      </c>
      <c r="GF4" s="9">
        <v>46204</v>
      </c>
      <c r="GG4" s="9">
        <v>46205</v>
      </c>
      <c r="GH4" s="9">
        <v>46206</v>
      </c>
      <c r="GI4" s="9">
        <v>46207</v>
      </c>
      <c r="GJ4" s="9">
        <v>46208</v>
      </c>
      <c r="GK4" s="9">
        <v>46209</v>
      </c>
      <c r="GL4" s="9">
        <v>46210</v>
      </c>
      <c r="GM4" s="9">
        <v>46211</v>
      </c>
      <c r="GN4" s="9">
        <v>46212</v>
      </c>
      <c r="GO4" s="9">
        <v>46213</v>
      </c>
      <c r="GP4" s="9">
        <v>46214</v>
      </c>
      <c r="GQ4" s="9">
        <v>46215</v>
      </c>
      <c r="GR4" s="9">
        <v>46216</v>
      </c>
      <c r="GS4" s="9">
        <v>46217</v>
      </c>
      <c r="GT4" s="9">
        <v>46218</v>
      </c>
      <c r="GU4" s="9">
        <v>46219</v>
      </c>
      <c r="GV4" s="9">
        <v>46220</v>
      </c>
      <c r="GW4" s="9">
        <v>46221</v>
      </c>
      <c r="GX4" s="9">
        <v>46222</v>
      </c>
      <c r="GY4" s="9">
        <v>46223</v>
      </c>
      <c r="GZ4" s="9">
        <v>46224</v>
      </c>
      <c r="HA4" s="9">
        <v>46225</v>
      </c>
      <c r="HB4" s="9">
        <v>46226</v>
      </c>
      <c r="HC4" s="9">
        <v>46227</v>
      </c>
      <c r="HD4" s="9">
        <v>46228</v>
      </c>
      <c r="HE4" s="9">
        <v>46229</v>
      </c>
      <c r="HF4" s="9">
        <v>46230</v>
      </c>
      <c r="HG4" s="9">
        <v>46231</v>
      </c>
      <c r="HH4" s="9">
        <v>46232</v>
      </c>
      <c r="HI4" s="9">
        <v>46233</v>
      </c>
      <c r="HJ4" s="9">
        <v>46234</v>
      </c>
      <c r="HK4" s="9">
        <v>46235</v>
      </c>
      <c r="HL4" s="9">
        <v>46236</v>
      </c>
      <c r="HM4" s="9">
        <v>46237</v>
      </c>
      <c r="HN4" s="9">
        <v>46238</v>
      </c>
      <c r="HO4" s="9">
        <v>46239</v>
      </c>
      <c r="HP4" s="9">
        <v>46240</v>
      </c>
      <c r="HQ4" s="9">
        <v>46241</v>
      </c>
      <c r="HR4" s="9">
        <v>46242</v>
      </c>
      <c r="HS4" s="9">
        <v>46243</v>
      </c>
    </row>
    <row r="5" spans="1:227" ht="20.100000000000001" customHeight="1" thickBot="1" x14ac:dyDescent="0.3">
      <c r="A5" s="341" t="s">
        <v>22</v>
      </c>
      <c r="B5" s="18">
        <v>52244867</v>
      </c>
      <c r="C5" s="14" t="s">
        <v>15</v>
      </c>
      <c r="D5" s="25"/>
      <c r="E5" s="25"/>
      <c r="F5" s="25"/>
      <c r="G5" s="25"/>
      <c r="H5" s="25"/>
      <c r="I5" s="25"/>
      <c r="J5" s="25"/>
      <c r="K5" s="25">
        <v>19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>
        <v>8</v>
      </c>
      <c r="AI5" s="25"/>
      <c r="AJ5" s="25"/>
      <c r="AK5" s="25"/>
      <c r="AL5" s="25"/>
      <c r="AM5" s="25"/>
      <c r="AN5" s="25"/>
      <c r="AO5" s="25">
        <v>26</v>
      </c>
      <c r="AP5" s="25">
        <v>26</v>
      </c>
      <c r="AQ5" s="25">
        <v>26</v>
      </c>
      <c r="AR5" s="25"/>
      <c r="AS5" s="25"/>
      <c r="AT5" s="25">
        <v>42</v>
      </c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</row>
    <row r="6" spans="1:227" ht="20.100000000000001" customHeight="1" thickBot="1" x14ac:dyDescent="0.3">
      <c r="A6" s="342"/>
      <c r="B6" s="18">
        <v>52244907</v>
      </c>
      <c r="C6" s="14" t="s">
        <v>16</v>
      </c>
      <c r="D6" s="25"/>
      <c r="E6" s="25"/>
      <c r="F6" s="25"/>
      <c r="G6" s="25"/>
      <c r="H6" s="25"/>
      <c r="I6" s="25"/>
      <c r="J6" s="25"/>
      <c r="K6" s="25">
        <v>32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>
        <v>29</v>
      </c>
      <c r="AI6" s="25"/>
      <c r="AJ6" s="25"/>
      <c r="AK6" s="25"/>
      <c r="AL6" s="25"/>
      <c r="AM6" s="25"/>
      <c r="AN6" s="25"/>
      <c r="AO6" s="25">
        <v>43</v>
      </c>
      <c r="AP6" s="25">
        <v>43</v>
      </c>
      <c r="AQ6" s="25">
        <v>43</v>
      </c>
      <c r="AR6" s="25"/>
      <c r="AS6" s="25"/>
      <c r="AT6" s="25">
        <v>43</v>
      </c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</row>
    <row r="7" spans="1:227" ht="20.100000000000001" customHeight="1" thickBot="1" x14ac:dyDescent="0.3">
      <c r="A7" s="342"/>
      <c r="B7" s="18">
        <v>52244944</v>
      </c>
      <c r="C7" s="14" t="s">
        <v>17</v>
      </c>
      <c r="D7" s="25"/>
      <c r="E7" s="25"/>
      <c r="F7" s="25"/>
      <c r="G7" s="25"/>
      <c r="H7" s="25"/>
      <c r="I7" s="25"/>
      <c r="J7" s="25"/>
      <c r="K7" s="25">
        <v>14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>
        <v>13</v>
      </c>
      <c r="AI7" s="25"/>
      <c r="AJ7" s="25"/>
      <c r="AK7" s="25"/>
      <c r="AL7" s="25"/>
      <c r="AM7" s="25"/>
      <c r="AN7" s="25"/>
      <c r="AO7" s="25">
        <v>16</v>
      </c>
      <c r="AP7" s="25">
        <v>16</v>
      </c>
      <c r="AQ7" s="25">
        <v>16</v>
      </c>
      <c r="AR7" s="25"/>
      <c r="AS7" s="25"/>
      <c r="AT7" s="25">
        <v>16</v>
      </c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</row>
    <row r="8" spans="1:227" ht="20.100000000000001" customHeight="1" thickBot="1" x14ac:dyDescent="0.3">
      <c r="A8" s="342"/>
      <c r="B8" s="24">
        <v>52244906</v>
      </c>
      <c r="C8" s="14" t="s">
        <v>18</v>
      </c>
      <c r="D8" s="25"/>
      <c r="E8" s="25"/>
      <c r="F8" s="25"/>
      <c r="G8" s="25"/>
      <c r="H8" s="25"/>
      <c r="I8" s="25"/>
      <c r="J8" s="25"/>
      <c r="K8" s="25">
        <v>4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>
        <v>3</v>
      </c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</row>
    <row r="9" spans="1:227" ht="20.100000000000001" customHeight="1" thickBot="1" x14ac:dyDescent="0.3">
      <c r="A9" s="342"/>
      <c r="B9" s="18">
        <v>52244905</v>
      </c>
      <c r="C9" s="14" t="s">
        <v>19</v>
      </c>
      <c r="D9" s="25"/>
      <c r="E9" s="25"/>
      <c r="F9" s="25"/>
      <c r="G9" s="25"/>
      <c r="H9" s="25"/>
      <c r="I9" s="25"/>
      <c r="J9" s="25"/>
      <c r="K9" s="25">
        <v>32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>
        <v>31</v>
      </c>
      <c r="AI9" s="25"/>
      <c r="AJ9" s="25"/>
      <c r="AK9" s="25"/>
      <c r="AL9" s="25"/>
      <c r="AM9" s="25"/>
      <c r="AN9" s="25"/>
      <c r="AO9" s="25">
        <v>66</v>
      </c>
      <c r="AP9" s="25">
        <v>66</v>
      </c>
      <c r="AQ9" s="25">
        <v>66</v>
      </c>
      <c r="AR9" s="25"/>
      <c r="AS9" s="25"/>
      <c r="AT9" s="25">
        <v>66</v>
      </c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</row>
    <row r="10" spans="1:227" ht="20.100000000000001" customHeight="1" thickBot="1" x14ac:dyDescent="0.3">
      <c r="A10" s="342"/>
      <c r="B10" s="18">
        <v>52244924</v>
      </c>
      <c r="C10" s="14" t="s">
        <v>20</v>
      </c>
      <c r="D10" s="25"/>
      <c r="E10" s="25"/>
      <c r="F10" s="25"/>
      <c r="G10" s="25"/>
      <c r="H10" s="25"/>
      <c r="I10" s="25"/>
      <c r="J10" s="25"/>
      <c r="K10" s="25">
        <v>4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>
        <v>3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</row>
    <row r="11" spans="1:227" ht="20.100000000000001" customHeight="1" thickBot="1" x14ac:dyDescent="0.3">
      <c r="A11" s="342"/>
      <c r="B11" s="18">
        <v>52244956</v>
      </c>
      <c r="C11" s="14" t="s">
        <v>21</v>
      </c>
      <c r="D11" s="25"/>
      <c r="E11" s="25"/>
      <c r="F11" s="25"/>
      <c r="G11" s="25"/>
      <c r="H11" s="25"/>
      <c r="I11" s="25"/>
      <c r="J11" s="25"/>
      <c r="K11" s="25">
        <v>15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>
        <v>9</v>
      </c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</row>
    <row r="12" spans="1:227" ht="20.100000000000001" customHeight="1" thickBot="1" x14ac:dyDescent="0.3">
      <c r="A12" s="343"/>
      <c r="B12" s="18">
        <v>52244895</v>
      </c>
      <c r="C12" s="14" t="s">
        <v>30</v>
      </c>
      <c r="D12" s="26"/>
      <c r="E12" s="26"/>
      <c r="F12" s="26"/>
      <c r="G12" s="26"/>
      <c r="H12" s="26"/>
      <c r="I12" s="26"/>
      <c r="J12" s="26"/>
      <c r="K12" s="26"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</row>
    <row r="13" spans="1:227" ht="7.5" customHeight="1" thickBot="1" x14ac:dyDescent="0.3">
      <c r="A13" s="22"/>
      <c r="B13" s="21"/>
      <c r="C13" s="2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</row>
    <row r="14" spans="1:227" ht="15.75" thickBot="1" x14ac:dyDescent="0.3">
      <c r="A14" s="15" t="s">
        <v>0</v>
      </c>
      <c r="B14" s="15"/>
      <c r="C14" s="1" t="s">
        <v>9</v>
      </c>
      <c r="D14" s="28"/>
      <c r="E14" s="28"/>
      <c r="F14" s="28"/>
      <c r="G14" s="28"/>
      <c r="H14" s="28"/>
      <c r="I14" s="28"/>
      <c r="J14" s="28"/>
      <c r="K14" s="28">
        <v>19</v>
      </c>
      <c r="L14" s="28"/>
      <c r="M14" s="28">
        <v>157</v>
      </c>
      <c r="N14" s="28">
        <v>188</v>
      </c>
      <c r="O14" s="28">
        <v>200</v>
      </c>
      <c r="P14" s="28"/>
      <c r="Q14" s="28"/>
      <c r="R14" s="28">
        <v>205</v>
      </c>
      <c r="S14" s="28">
        <v>180</v>
      </c>
      <c r="T14" s="28">
        <v>219</v>
      </c>
      <c r="U14" s="28">
        <v>213</v>
      </c>
      <c r="V14" s="28">
        <v>190</v>
      </c>
      <c r="W14" s="28"/>
      <c r="X14" s="28"/>
      <c r="Y14" s="28">
        <v>200</v>
      </c>
      <c r="Z14" s="28">
        <v>161</v>
      </c>
      <c r="AA14" s="28">
        <v>175</v>
      </c>
      <c r="AB14" s="28">
        <v>195</v>
      </c>
      <c r="AC14" s="28">
        <v>204</v>
      </c>
      <c r="AD14" s="28">
        <v>143</v>
      </c>
      <c r="AE14" s="28"/>
      <c r="AF14" s="28">
        <v>182</v>
      </c>
      <c r="AG14" s="28">
        <v>186</v>
      </c>
      <c r="AH14" s="28">
        <v>199</v>
      </c>
      <c r="AI14" s="28">
        <v>192</v>
      </c>
      <c r="AJ14" s="28">
        <v>174</v>
      </c>
      <c r="AK14" s="28">
        <v>166</v>
      </c>
      <c r="AL14" s="28"/>
      <c r="AM14" s="28">
        <v>78</v>
      </c>
      <c r="AN14" s="28">
        <v>163</v>
      </c>
      <c r="AO14" s="28">
        <v>189</v>
      </c>
      <c r="AP14" s="28">
        <v>193</v>
      </c>
      <c r="AQ14" s="28">
        <v>151</v>
      </c>
      <c r="AR14" s="28"/>
      <c r="AS14" s="28"/>
      <c r="AT14" s="28">
        <v>168</v>
      </c>
      <c r="AU14" s="28">
        <v>146</v>
      </c>
      <c r="AV14" s="28">
        <v>188</v>
      </c>
      <c r="AW14" s="28">
        <v>191</v>
      </c>
      <c r="AX14" s="28">
        <v>177</v>
      </c>
      <c r="AY14" s="28"/>
      <c r="AZ14" s="28"/>
      <c r="BA14" s="28">
        <v>138</v>
      </c>
      <c r="BB14" s="28">
        <v>174</v>
      </c>
      <c r="BC14" s="28">
        <v>175</v>
      </c>
      <c r="BD14" s="28">
        <v>178</v>
      </c>
      <c r="BE14" s="28">
        <v>180</v>
      </c>
      <c r="BF14" s="28">
        <v>109</v>
      </c>
      <c r="BG14" s="28"/>
      <c r="BH14" s="28">
        <v>185</v>
      </c>
      <c r="BI14" s="28">
        <v>175</v>
      </c>
      <c r="BJ14" s="28">
        <v>167</v>
      </c>
      <c r="BK14" s="28">
        <v>170</v>
      </c>
      <c r="BL14" s="28">
        <v>172</v>
      </c>
      <c r="BM14" s="28">
        <v>33</v>
      </c>
      <c r="BN14" s="28"/>
      <c r="BO14" s="28">
        <v>166</v>
      </c>
      <c r="BP14" s="28">
        <v>158</v>
      </c>
      <c r="BQ14" s="28">
        <v>167</v>
      </c>
      <c r="BR14" s="28">
        <v>126</v>
      </c>
      <c r="BS14" s="28">
        <v>177</v>
      </c>
      <c r="BT14" s="28">
        <v>65</v>
      </c>
      <c r="BU14" s="28"/>
      <c r="BV14" s="28">
        <v>143</v>
      </c>
      <c r="BW14" s="28">
        <v>156</v>
      </c>
      <c r="BX14" s="28">
        <v>141</v>
      </c>
      <c r="BY14" s="28">
        <v>166</v>
      </c>
      <c r="BZ14" s="28">
        <v>172</v>
      </c>
      <c r="CA14" s="28"/>
      <c r="CB14" s="28"/>
      <c r="CC14" s="28">
        <v>165</v>
      </c>
      <c r="CD14" s="28">
        <v>180</v>
      </c>
      <c r="CE14" s="28">
        <v>162</v>
      </c>
      <c r="CF14" s="28">
        <v>175</v>
      </c>
      <c r="CG14" s="28">
        <v>173</v>
      </c>
      <c r="CH14" s="28"/>
      <c r="CI14" s="28"/>
      <c r="CJ14" s="28"/>
      <c r="CK14" s="28">
        <v>155</v>
      </c>
      <c r="CL14" s="28">
        <v>181</v>
      </c>
      <c r="CM14" s="28">
        <v>180</v>
      </c>
      <c r="CN14" s="28">
        <v>182</v>
      </c>
      <c r="CO14" s="28"/>
      <c r="CP14" s="28"/>
      <c r="CQ14" s="28">
        <v>187</v>
      </c>
      <c r="CR14" s="28">
        <v>193</v>
      </c>
      <c r="CS14" s="28">
        <v>211</v>
      </c>
      <c r="CT14" s="28">
        <v>185</v>
      </c>
      <c r="CU14" s="28">
        <v>188</v>
      </c>
      <c r="CV14" s="28"/>
      <c r="CW14" s="28"/>
      <c r="CX14" s="28"/>
      <c r="CY14" s="28">
        <v>185</v>
      </c>
      <c r="CZ14" s="28">
        <v>208</v>
      </c>
      <c r="DA14" s="28">
        <v>182</v>
      </c>
      <c r="DB14" s="77">
        <v>197</v>
      </c>
      <c r="DC14" s="77">
        <v>96</v>
      </c>
      <c r="DD14" s="77"/>
      <c r="DE14" s="77">
        <v>192</v>
      </c>
      <c r="DF14" s="77">
        <v>190</v>
      </c>
      <c r="DG14" s="77"/>
      <c r="DH14" s="77"/>
      <c r="DI14" s="28"/>
      <c r="DJ14" s="28"/>
      <c r="DK14" s="28"/>
      <c r="DL14" s="28">
        <v>171</v>
      </c>
      <c r="DM14" s="28">
        <v>209</v>
      </c>
      <c r="DN14" s="28">
        <v>198</v>
      </c>
      <c r="DO14" s="28">
        <v>168</v>
      </c>
      <c r="DP14" s="28">
        <v>182</v>
      </c>
      <c r="DQ14" s="28"/>
      <c r="DR14" s="28"/>
      <c r="DS14" s="28">
        <v>225</v>
      </c>
      <c r="DT14" s="28">
        <v>208</v>
      </c>
      <c r="DU14" s="28">
        <v>217</v>
      </c>
      <c r="DV14" s="28">
        <v>217</v>
      </c>
      <c r="DW14" s="28"/>
      <c r="DX14" s="28"/>
      <c r="DY14" s="28"/>
      <c r="DZ14" s="28">
        <v>196</v>
      </c>
      <c r="EA14" s="28">
        <v>210</v>
      </c>
      <c r="EB14" s="28">
        <v>188</v>
      </c>
      <c r="EC14" s="28">
        <v>210</v>
      </c>
      <c r="ED14" s="28">
        <v>187</v>
      </c>
      <c r="EE14" s="28"/>
      <c r="EF14" s="28"/>
      <c r="EG14" s="28">
        <v>203</v>
      </c>
      <c r="EH14" s="28">
        <v>212</v>
      </c>
      <c r="EI14" s="77">
        <v>193</v>
      </c>
      <c r="EJ14" s="77">
        <v>190</v>
      </c>
      <c r="EK14" s="77">
        <v>175</v>
      </c>
      <c r="EL14" s="77"/>
      <c r="EM14" s="77"/>
      <c r="EN14" s="28">
        <v>201</v>
      </c>
      <c r="EO14" s="28">
        <v>203</v>
      </c>
      <c r="EP14" s="28">
        <v>208</v>
      </c>
      <c r="EQ14" s="28">
        <v>208</v>
      </c>
      <c r="ER14" s="28">
        <v>190</v>
      </c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>
        <v>164</v>
      </c>
      <c r="FE14" s="28">
        <v>176</v>
      </c>
      <c r="FF14" s="28"/>
      <c r="FG14" s="28"/>
      <c r="FH14" s="28"/>
      <c r="FI14" s="28"/>
      <c r="FJ14" s="28"/>
      <c r="FK14" s="28">
        <v>200</v>
      </c>
      <c r="FL14" s="28">
        <v>200</v>
      </c>
      <c r="FM14" s="28">
        <v>165</v>
      </c>
      <c r="FN14" s="28"/>
      <c r="FO14" s="28"/>
      <c r="FP14" s="28">
        <v>176</v>
      </c>
      <c r="FQ14" s="28">
        <v>200</v>
      </c>
      <c r="FR14" s="28">
        <v>180</v>
      </c>
      <c r="FS14" s="28">
        <v>180</v>
      </c>
      <c r="FT14" s="28">
        <v>156</v>
      </c>
      <c r="FU14" s="28"/>
      <c r="FV14" s="28"/>
      <c r="FW14" s="42">
        <f t="shared" ref="FW14:GC15" si="0">FW10+FW12</f>
        <v>0</v>
      </c>
      <c r="FX14" s="42">
        <f t="shared" si="0"/>
        <v>0</v>
      </c>
      <c r="FY14" s="42">
        <f t="shared" si="0"/>
        <v>0</v>
      </c>
      <c r="FZ14" s="42">
        <f t="shared" si="0"/>
        <v>0</v>
      </c>
      <c r="GA14" s="42">
        <f t="shared" si="0"/>
        <v>0</v>
      </c>
      <c r="GB14" s="42">
        <f t="shared" si="0"/>
        <v>0</v>
      </c>
      <c r="GC14" s="42">
        <f t="shared" si="0"/>
        <v>0</v>
      </c>
      <c r="GD14" s="28">
        <v>64</v>
      </c>
      <c r="GE14" s="28"/>
      <c r="GF14" s="28"/>
      <c r="GG14" s="28">
        <v>147</v>
      </c>
      <c r="GH14" s="28">
        <v>174</v>
      </c>
      <c r="GI14" s="28"/>
      <c r="GJ14" s="28"/>
      <c r="GK14" s="28">
        <v>157</v>
      </c>
      <c r="GL14" s="28"/>
      <c r="GM14" s="28"/>
      <c r="GN14" s="28"/>
      <c r="GO14" s="28"/>
      <c r="GP14" s="28"/>
      <c r="GQ14" s="28"/>
      <c r="GR14" s="28">
        <v>146</v>
      </c>
      <c r="GS14" s="28">
        <v>159</v>
      </c>
      <c r="GT14" s="28">
        <v>132</v>
      </c>
      <c r="GU14" s="28">
        <v>153</v>
      </c>
      <c r="GV14" s="28"/>
      <c r="GW14" s="28"/>
      <c r="GX14" s="28"/>
      <c r="GY14" s="28">
        <v>191</v>
      </c>
      <c r="GZ14" s="28">
        <v>153</v>
      </c>
      <c r="HA14" s="28">
        <v>156</v>
      </c>
      <c r="HB14" s="28">
        <v>184</v>
      </c>
      <c r="HC14" s="28">
        <v>176</v>
      </c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</row>
    <row r="15" spans="1:227" ht="15.75" thickBot="1" x14ac:dyDescent="0.3">
      <c r="A15" s="15" t="s">
        <v>1</v>
      </c>
      <c r="B15" s="15"/>
      <c r="C15" s="1" t="s">
        <v>9</v>
      </c>
      <c r="D15" s="31"/>
      <c r="E15" s="31"/>
      <c r="F15" s="30"/>
      <c r="G15" s="30"/>
      <c r="H15" s="30"/>
      <c r="I15" s="30"/>
      <c r="J15" s="30"/>
      <c r="K15" s="31"/>
      <c r="L15" s="31"/>
      <c r="M15" s="30"/>
      <c r="N15" s="30"/>
      <c r="O15" s="30"/>
      <c r="P15" s="30"/>
      <c r="Q15" s="30"/>
      <c r="R15" s="31"/>
      <c r="S15" s="31"/>
      <c r="T15" s="30"/>
      <c r="U15" s="30"/>
      <c r="V15" s="30"/>
      <c r="W15" s="30"/>
      <c r="X15" s="30"/>
      <c r="Y15" s="31"/>
      <c r="Z15" s="31"/>
      <c r="AA15" s="30"/>
      <c r="AB15" s="30"/>
      <c r="AC15" s="30"/>
      <c r="AD15" s="30"/>
      <c r="AE15" s="30"/>
      <c r="AF15" s="31"/>
      <c r="AG15" s="31"/>
      <c r="AH15" s="30"/>
      <c r="AI15" s="30"/>
      <c r="AJ15" s="30"/>
      <c r="AK15" s="30"/>
      <c r="AL15" s="30"/>
      <c r="AM15" s="31"/>
      <c r="AN15" s="28">
        <v>31</v>
      </c>
      <c r="AO15" s="28">
        <v>35</v>
      </c>
      <c r="AP15" s="28">
        <v>40</v>
      </c>
      <c r="AQ15" s="28">
        <v>42</v>
      </c>
      <c r="AR15" s="28"/>
      <c r="AS15" s="28"/>
      <c r="AT15" s="28">
        <v>25</v>
      </c>
      <c r="AU15" s="28">
        <v>29</v>
      </c>
      <c r="AV15" s="28">
        <v>39</v>
      </c>
      <c r="AW15" s="28">
        <v>32</v>
      </c>
      <c r="AX15" s="28">
        <v>36</v>
      </c>
      <c r="AY15" s="28"/>
      <c r="AZ15" s="28"/>
      <c r="BA15" s="28">
        <v>39</v>
      </c>
      <c r="BB15" s="28">
        <v>33</v>
      </c>
      <c r="BC15" s="28">
        <v>35</v>
      </c>
      <c r="BD15" s="28">
        <v>34</v>
      </c>
      <c r="BE15" s="28">
        <v>31</v>
      </c>
      <c r="BF15" s="28"/>
      <c r="BG15" s="28"/>
      <c r="BH15" s="28">
        <v>25</v>
      </c>
      <c r="BI15" s="28">
        <v>45</v>
      </c>
      <c r="BJ15" s="28">
        <v>60</v>
      </c>
      <c r="BK15" s="28">
        <v>65</v>
      </c>
      <c r="BL15" s="28">
        <v>58</v>
      </c>
      <c r="BM15" s="28">
        <v>0</v>
      </c>
      <c r="BN15" s="28"/>
      <c r="BO15" s="28">
        <v>56</v>
      </c>
      <c r="BP15" s="28">
        <v>76</v>
      </c>
      <c r="BQ15" s="28">
        <v>72</v>
      </c>
      <c r="BR15" s="28">
        <v>83</v>
      </c>
      <c r="BS15" s="28">
        <v>68</v>
      </c>
      <c r="BT15" s="28">
        <v>0</v>
      </c>
      <c r="BU15" s="29"/>
      <c r="BV15" s="28">
        <v>88</v>
      </c>
      <c r="BW15" s="28">
        <v>83</v>
      </c>
      <c r="BX15" s="28"/>
      <c r="BY15" s="29">
        <v>95</v>
      </c>
      <c r="BZ15" s="29"/>
      <c r="CA15" s="29"/>
      <c r="CB15" s="29"/>
      <c r="CC15" s="28">
        <v>141</v>
      </c>
      <c r="CD15" s="28">
        <v>176</v>
      </c>
      <c r="CE15" s="28">
        <v>162</v>
      </c>
      <c r="CF15" s="71">
        <v>156</v>
      </c>
      <c r="CG15" s="71">
        <v>181</v>
      </c>
      <c r="CH15" s="29"/>
      <c r="CI15" s="29"/>
      <c r="CJ15" s="28"/>
      <c r="CK15" s="28">
        <v>233</v>
      </c>
      <c r="CL15" s="28">
        <v>236</v>
      </c>
      <c r="CM15" s="71">
        <v>233</v>
      </c>
      <c r="CN15" s="71">
        <v>175</v>
      </c>
      <c r="CO15" s="29"/>
      <c r="CP15" s="29"/>
      <c r="CQ15" s="28">
        <v>190</v>
      </c>
      <c r="CR15" s="28">
        <v>193</v>
      </c>
      <c r="CS15" s="28">
        <v>235</v>
      </c>
      <c r="CT15" s="28">
        <v>235</v>
      </c>
      <c r="CU15" s="86">
        <v>190</v>
      </c>
      <c r="CV15" s="29"/>
      <c r="CW15" s="29"/>
      <c r="CX15" s="28"/>
      <c r="CY15" s="28">
        <v>206</v>
      </c>
      <c r="CZ15" s="28">
        <v>210</v>
      </c>
      <c r="DA15" s="71">
        <v>183</v>
      </c>
      <c r="DB15" s="71">
        <v>190</v>
      </c>
      <c r="DC15" s="71"/>
      <c r="DD15" s="71"/>
      <c r="DE15" s="77">
        <v>190</v>
      </c>
      <c r="DF15" s="77">
        <v>200</v>
      </c>
      <c r="DG15" s="77">
        <v>160</v>
      </c>
      <c r="DH15" s="71"/>
      <c r="DI15" s="86">
        <v>212</v>
      </c>
      <c r="DJ15" s="29"/>
      <c r="DK15" s="29"/>
      <c r="DL15" s="28">
        <v>204</v>
      </c>
      <c r="DM15" s="28">
        <v>190</v>
      </c>
      <c r="DN15" s="28">
        <v>218</v>
      </c>
      <c r="DO15" s="71">
        <v>207</v>
      </c>
      <c r="DP15" s="71">
        <v>185</v>
      </c>
      <c r="DQ15" s="29"/>
      <c r="DR15" s="29"/>
      <c r="DS15" s="28">
        <v>216</v>
      </c>
      <c r="DT15" s="28">
        <v>220</v>
      </c>
      <c r="DU15" s="28">
        <v>201</v>
      </c>
      <c r="DV15" s="71">
        <v>205</v>
      </c>
      <c r="DW15" s="29"/>
      <c r="DX15" s="29"/>
      <c r="DY15" s="29"/>
      <c r="DZ15" s="28">
        <v>216</v>
      </c>
      <c r="EA15" s="28">
        <v>203</v>
      </c>
      <c r="EB15" s="28">
        <v>217</v>
      </c>
      <c r="EC15" s="28">
        <v>210</v>
      </c>
      <c r="ED15" s="28">
        <v>205</v>
      </c>
      <c r="EE15" s="29"/>
      <c r="EF15" s="29"/>
      <c r="EG15" s="32">
        <v>189</v>
      </c>
      <c r="EH15" s="32">
        <v>215</v>
      </c>
      <c r="EI15" s="77">
        <v>200</v>
      </c>
      <c r="EJ15" s="71">
        <v>236</v>
      </c>
      <c r="EK15" s="71">
        <v>207</v>
      </c>
      <c r="EL15" s="71"/>
      <c r="EM15" s="71"/>
      <c r="EN15" s="28">
        <v>209</v>
      </c>
      <c r="EO15" s="28">
        <v>211</v>
      </c>
      <c r="EP15" s="28">
        <v>215</v>
      </c>
      <c r="EQ15" s="28">
        <v>208</v>
      </c>
      <c r="ER15" s="28">
        <v>215</v>
      </c>
      <c r="ES15" s="29"/>
      <c r="ET15" s="29"/>
      <c r="EU15" s="28">
        <v>149</v>
      </c>
      <c r="EV15" s="28">
        <v>152</v>
      </c>
      <c r="EW15" s="28">
        <v>183</v>
      </c>
      <c r="EX15" s="86">
        <v>155</v>
      </c>
      <c r="EY15" s="86">
        <v>182</v>
      </c>
      <c r="EZ15" s="86"/>
      <c r="FA15" s="29"/>
      <c r="FB15" s="28"/>
      <c r="FC15" s="28"/>
      <c r="FD15" s="28">
        <v>173</v>
      </c>
      <c r="FE15" s="28">
        <v>176</v>
      </c>
      <c r="FF15" s="28">
        <v>187</v>
      </c>
      <c r="FG15" s="29"/>
      <c r="FH15" s="29"/>
      <c r="FI15" s="28"/>
      <c r="FJ15" s="28">
        <v>156</v>
      </c>
      <c r="FK15" s="28">
        <v>171</v>
      </c>
      <c r="FL15" s="28">
        <v>171</v>
      </c>
      <c r="FM15" s="86">
        <v>155</v>
      </c>
      <c r="FN15" s="29"/>
      <c r="FO15" s="29"/>
      <c r="FP15" s="28">
        <v>194</v>
      </c>
      <c r="FQ15" s="28">
        <v>200</v>
      </c>
      <c r="FR15" s="28">
        <v>180</v>
      </c>
      <c r="FS15" s="28">
        <v>190</v>
      </c>
      <c r="FT15" s="28">
        <v>196</v>
      </c>
      <c r="FU15" s="29"/>
      <c r="FV15" s="29"/>
      <c r="FW15" s="43">
        <f t="shared" si="0"/>
        <v>0</v>
      </c>
      <c r="FX15" s="43">
        <f t="shared" si="0"/>
        <v>0</v>
      </c>
      <c r="FY15" s="43">
        <f t="shared" si="0"/>
        <v>0</v>
      </c>
      <c r="FZ15" s="43">
        <f t="shared" si="0"/>
        <v>0</v>
      </c>
      <c r="GA15" s="43">
        <f t="shared" si="0"/>
        <v>0</v>
      </c>
      <c r="GB15" s="43">
        <f t="shared" si="0"/>
        <v>0</v>
      </c>
      <c r="GC15" s="43">
        <f t="shared" si="0"/>
        <v>0</v>
      </c>
      <c r="GD15" s="28"/>
      <c r="GE15" s="28">
        <v>157</v>
      </c>
      <c r="GF15" s="28">
        <v>174</v>
      </c>
      <c r="GG15" s="28">
        <v>177</v>
      </c>
      <c r="GH15" s="28">
        <v>146</v>
      </c>
      <c r="GI15" s="29"/>
      <c r="GJ15" s="29"/>
      <c r="GK15" s="28"/>
      <c r="GL15" s="28"/>
      <c r="GM15" s="28">
        <v>182</v>
      </c>
      <c r="GN15" s="28">
        <v>145</v>
      </c>
      <c r="GO15" s="71">
        <v>155</v>
      </c>
      <c r="GP15" s="71"/>
      <c r="GQ15" s="71"/>
      <c r="GR15" s="77"/>
      <c r="GS15" s="77">
        <v>156</v>
      </c>
      <c r="GT15" s="77">
        <v>165</v>
      </c>
      <c r="GU15" s="77">
        <v>168</v>
      </c>
      <c r="GV15" s="71"/>
      <c r="GW15" s="71"/>
      <c r="GX15" s="71"/>
      <c r="GY15" s="77"/>
      <c r="GZ15" s="77">
        <v>138</v>
      </c>
      <c r="HA15" s="77">
        <v>160</v>
      </c>
      <c r="HB15" s="77">
        <v>143</v>
      </c>
      <c r="HC15" s="71">
        <v>125</v>
      </c>
      <c r="HD15" s="71"/>
      <c r="HE15" s="29"/>
      <c r="HF15" s="28"/>
      <c r="HG15" s="28"/>
      <c r="HH15" s="28"/>
      <c r="HI15" s="28"/>
      <c r="HJ15" s="29"/>
      <c r="HK15" s="29"/>
      <c r="HL15" s="29"/>
      <c r="HM15" s="28"/>
      <c r="HN15" s="28"/>
      <c r="HO15" s="28"/>
      <c r="HP15" s="28"/>
      <c r="HQ15" s="29"/>
      <c r="HR15" s="29"/>
      <c r="HS15" s="29"/>
    </row>
    <row r="16" spans="1:227" ht="18.75" x14ac:dyDescent="0.25">
      <c r="A16" s="339" t="s">
        <v>7</v>
      </c>
      <c r="B16" s="17"/>
      <c r="C16" s="1" t="s">
        <v>9</v>
      </c>
      <c r="D16" s="32">
        <f t="shared" ref="D16:AM16" si="1">D14</f>
        <v>0</v>
      </c>
      <c r="E16" s="32">
        <f t="shared" si="1"/>
        <v>0</v>
      </c>
      <c r="F16" s="32">
        <f t="shared" si="1"/>
        <v>0</v>
      </c>
      <c r="G16" s="32">
        <f t="shared" si="1"/>
        <v>0</v>
      </c>
      <c r="H16" s="32">
        <f t="shared" si="1"/>
        <v>0</v>
      </c>
      <c r="I16" s="32">
        <f t="shared" si="1"/>
        <v>0</v>
      </c>
      <c r="J16" s="32">
        <f t="shared" si="1"/>
        <v>0</v>
      </c>
      <c r="K16" s="32">
        <f t="shared" si="1"/>
        <v>19</v>
      </c>
      <c r="L16" s="32">
        <f t="shared" si="1"/>
        <v>0</v>
      </c>
      <c r="M16" s="32">
        <f t="shared" si="1"/>
        <v>157</v>
      </c>
      <c r="N16" s="32">
        <f t="shared" si="1"/>
        <v>188</v>
      </c>
      <c r="O16" s="32">
        <f t="shared" si="1"/>
        <v>200</v>
      </c>
      <c r="P16" s="32">
        <f t="shared" si="1"/>
        <v>0</v>
      </c>
      <c r="Q16" s="32">
        <f t="shared" si="1"/>
        <v>0</v>
      </c>
      <c r="R16" s="32">
        <f t="shared" si="1"/>
        <v>205</v>
      </c>
      <c r="S16" s="32">
        <f t="shared" si="1"/>
        <v>180</v>
      </c>
      <c r="T16" s="32">
        <f t="shared" si="1"/>
        <v>219</v>
      </c>
      <c r="U16" s="32">
        <f t="shared" si="1"/>
        <v>213</v>
      </c>
      <c r="V16" s="32">
        <f t="shared" si="1"/>
        <v>190</v>
      </c>
      <c r="W16" s="32">
        <f t="shared" si="1"/>
        <v>0</v>
      </c>
      <c r="X16" s="32">
        <f t="shared" si="1"/>
        <v>0</v>
      </c>
      <c r="Y16" s="32">
        <f t="shared" si="1"/>
        <v>200</v>
      </c>
      <c r="Z16" s="32">
        <f t="shared" si="1"/>
        <v>161</v>
      </c>
      <c r="AA16" s="32">
        <f t="shared" si="1"/>
        <v>175</v>
      </c>
      <c r="AB16" s="32">
        <f t="shared" si="1"/>
        <v>195</v>
      </c>
      <c r="AC16" s="32">
        <f t="shared" si="1"/>
        <v>204</v>
      </c>
      <c r="AD16" s="32">
        <f t="shared" si="1"/>
        <v>143</v>
      </c>
      <c r="AE16" s="32">
        <f t="shared" si="1"/>
        <v>0</v>
      </c>
      <c r="AF16" s="32">
        <f t="shared" si="1"/>
        <v>182</v>
      </c>
      <c r="AG16" s="32">
        <f t="shared" si="1"/>
        <v>186</v>
      </c>
      <c r="AH16" s="32">
        <f t="shared" si="1"/>
        <v>199</v>
      </c>
      <c r="AI16" s="32">
        <f t="shared" si="1"/>
        <v>192</v>
      </c>
      <c r="AJ16" s="32">
        <f t="shared" si="1"/>
        <v>174</v>
      </c>
      <c r="AK16" s="32">
        <f t="shared" si="1"/>
        <v>166</v>
      </c>
      <c r="AL16" s="32">
        <f t="shared" si="1"/>
        <v>0</v>
      </c>
      <c r="AM16" s="32">
        <f t="shared" si="1"/>
        <v>78</v>
      </c>
      <c r="AN16" s="32">
        <f t="shared" ref="AN16:BW16" si="2">AN14+AN15</f>
        <v>194</v>
      </c>
      <c r="AO16" s="32">
        <f t="shared" si="2"/>
        <v>224</v>
      </c>
      <c r="AP16" s="32">
        <f t="shared" si="2"/>
        <v>233</v>
      </c>
      <c r="AQ16" s="32">
        <f t="shared" si="2"/>
        <v>193</v>
      </c>
      <c r="AR16" s="32">
        <f t="shared" si="2"/>
        <v>0</v>
      </c>
      <c r="AS16" s="32">
        <f t="shared" si="2"/>
        <v>0</v>
      </c>
      <c r="AT16" s="32">
        <f t="shared" si="2"/>
        <v>193</v>
      </c>
      <c r="AU16" s="32">
        <f t="shared" si="2"/>
        <v>175</v>
      </c>
      <c r="AV16" s="32">
        <f t="shared" si="2"/>
        <v>227</v>
      </c>
      <c r="AW16" s="32">
        <f t="shared" si="2"/>
        <v>223</v>
      </c>
      <c r="AX16" s="32">
        <f t="shared" si="2"/>
        <v>213</v>
      </c>
      <c r="AY16" s="32">
        <f t="shared" si="2"/>
        <v>0</v>
      </c>
      <c r="AZ16" s="32">
        <f t="shared" si="2"/>
        <v>0</v>
      </c>
      <c r="BA16" s="32">
        <f t="shared" si="2"/>
        <v>177</v>
      </c>
      <c r="BB16" s="32">
        <f t="shared" si="2"/>
        <v>207</v>
      </c>
      <c r="BC16" s="32">
        <f t="shared" si="2"/>
        <v>210</v>
      </c>
      <c r="BD16" s="32">
        <f t="shared" si="2"/>
        <v>212</v>
      </c>
      <c r="BE16" s="32">
        <f t="shared" si="2"/>
        <v>211</v>
      </c>
      <c r="BF16" s="32">
        <f t="shared" si="2"/>
        <v>109</v>
      </c>
      <c r="BG16" s="32">
        <f t="shared" si="2"/>
        <v>0</v>
      </c>
      <c r="BH16" s="32">
        <f t="shared" si="2"/>
        <v>210</v>
      </c>
      <c r="BI16" s="32">
        <f t="shared" si="2"/>
        <v>220</v>
      </c>
      <c r="BJ16" s="32">
        <f t="shared" si="2"/>
        <v>227</v>
      </c>
      <c r="BK16" s="32">
        <f t="shared" si="2"/>
        <v>235</v>
      </c>
      <c r="BL16" s="32">
        <f t="shared" si="2"/>
        <v>230</v>
      </c>
      <c r="BM16" s="32">
        <f t="shared" si="2"/>
        <v>33</v>
      </c>
      <c r="BN16" s="32">
        <f t="shared" si="2"/>
        <v>0</v>
      </c>
      <c r="BO16" s="32">
        <f t="shared" si="2"/>
        <v>222</v>
      </c>
      <c r="BP16" s="32">
        <f t="shared" si="2"/>
        <v>234</v>
      </c>
      <c r="BQ16" s="32">
        <f t="shared" si="2"/>
        <v>239</v>
      </c>
      <c r="BR16" s="28">
        <f t="shared" si="2"/>
        <v>209</v>
      </c>
      <c r="BS16" s="28">
        <f t="shared" si="2"/>
        <v>245</v>
      </c>
      <c r="BT16" s="28">
        <f t="shared" si="2"/>
        <v>65</v>
      </c>
      <c r="BU16" s="32">
        <f t="shared" si="2"/>
        <v>0</v>
      </c>
      <c r="BV16" s="32">
        <f t="shared" si="2"/>
        <v>231</v>
      </c>
      <c r="BW16" s="32">
        <f t="shared" si="2"/>
        <v>239</v>
      </c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>
        <f>SUM(DS14:DS15)</f>
        <v>441</v>
      </c>
      <c r="DT16" s="32">
        <f>SUM(DT14:DT15)</f>
        <v>428</v>
      </c>
      <c r="DU16" s="32">
        <f t="shared" ref="DU16:ED16" si="3">SUM(DU14:DU15)</f>
        <v>418</v>
      </c>
      <c r="DV16" s="32">
        <f t="shared" si="3"/>
        <v>422</v>
      </c>
      <c r="DW16" s="32">
        <f t="shared" si="3"/>
        <v>0</v>
      </c>
      <c r="DX16" s="32">
        <f t="shared" si="3"/>
        <v>0</v>
      </c>
      <c r="DY16" s="32">
        <f t="shared" si="3"/>
        <v>0</v>
      </c>
      <c r="DZ16" s="32">
        <f t="shared" si="3"/>
        <v>412</v>
      </c>
      <c r="EA16" s="32">
        <f t="shared" si="3"/>
        <v>413</v>
      </c>
      <c r="EB16" s="32">
        <f t="shared" si="3"/>
        <v>405</v>
      </c>
      <c r="EC16" s="32">
        <f t="shared" si="3"/>
        <v>420</v>
      </c>
      <c r="ED16" s="32">
        <f t="shared" si="3"/>
        <v>392</v>
      </c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</row>
    <row r="17" spans="1:227" ht="19.5" thickBot="1" x14ac:dyDescent="0.35">
      <c r="A17" s="340"/>
      <c r="B17" s="16"/>
      <c r="C17" s="7" t="s">
        <v>6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</row>
    <row r="18" spans="1:227" ht="18.75" x14ac:dyDescent="0.3">
      <c r="C18" s="2" t="s">
        <v>10</v>
      </c>
      <c r="D18" s="333">
        <f t="shared" ref="D18" si="4">SUM(D16:J16)</f>
        <v>0</v>
      </c>
      <c r="E18" s="334"/>
      <c r="F18" s="334"/>
      <c r="G18" s="334"/>
      <c r="H18" s="334"/>
      <c r="I18" s="334"/>
      <c r="J18" s="335"/>
      <c r="K18" s="333">
        <f t="shared" ref="K18" si="5">SUM(K16:Q16)</f>
        <v>564</v>
      </c>
      <c r="L18" s="334"/>
      <c r="M18" s="334"/>
      <c r="N18" s="334"/>
      <c r="O18" s="334"/>
      <c r="P18" s="334"/>
      <c r="Q18" s="335"/>
      <c r="R18" s="333">
        <f t="shared" ref="R18" si="6">SUM(R16:X16)</f>
        <v>1007</v>
      </c>
      <c r="S18" s="334"/>
      <c r="T18" s="334"/>
      <c r="U18" s="334"/>
      <c r="V18" s="334"/>
      <c r="W18" s="334"/>
      <c r="X18" s="335"/>
      <c r="Y18" s="333">
        <f t="shared" ref="Y18" si="7">SUM(Y16:AE16)</f>
        <v>1078</v>
      </c>
      <c r="Z18" s="334"/>
      <c r="AA18" s="334"/>
      <c r="AB18" s="334"/>
      <c r="AC18" s="334"/>
      <c r="AD18" s="334"/>
      <c r="AE18" s="335"/>
      <c r="AF18" s="333">
        <f t="shared" ref="AF18" si="8">SUM(AF16:AL16)</f>
        <v>1099</v>
      </c>
      <c r="AG18" s="334"/>
      <c r="AH18" s="334"/>
      <c r="AI18" s="334"/>
      <c r="AJ18" s="334"/>
      <c r="AK18" s="334"/>
      <c r="AL18" s="335"/>
      <c r="AM18" s="333">
        <f t="shared" ref="AM18" si="9">SUM(AM16:AS16)</f>
        <v>922</v>
      </c>
      <c r="AN18" s="334"/>
      <c r="AO18" s="334"/>
      <c r="AP18" s="334"/>
      <c r="AQ18" s="334"/>
      <c r="AR18" s="334"/>
      <c r="AS18" s="335"/>
      <c r="AT18" s="333">
        <f t="shared" ref="AT18" si="10">SUM(AT16:AZ16)</f>
        <v>1031</v>
      </c>
      <c r="AU18" s="334"/>
      <c r="AV18" s="334"/>
      <c r="AW18" s="334"/>
      <c r="AX18" s="334"/>
      <c r="AY18" s="334"/>
      <c r="AZ18" s="335"/>
      <c r="BA18" s="333">
        <f t="shared" ref="BA18" si="11">SUM(BA16:BG16)</f>
        <v>1126</v>
      </c>
      <c r="BB18" s="334"/>
      <c r="BC18" s="334"/>
      <c r="BD18" s="334"/>
      <c r="BE18" s="334"/>
      <c r="BF18" s="334"/>
      <c r="BG18" s="335"/>
      <c r="BH18" s="333">
        <f t="shared" ref="BH18" si="12">SUM(BH16:BN16)</f>
        <v>1155</v>
      </c>
      <c r="BI18" s="334"/>
      <c r="BJ18" s="334"/>
      <c r="BK18" s="334"/>
      <c r="BL18" s="334"/>
      <c r="BM18" s="334"/>
      <c r="BN18" s="335"/>
      <c r="BO18" s="333">
        <f t="shared" ref="BO18" si="13">SUM(BO16:BU16)</f>
        <v>1214</v>
      </c>
      <c r="BP18" s="334"/>
      <c r="BQ18" s="334"/>
      <c r="BR18" s="334"/>
      <c r="BS18" s="334"/>
      <c r="BT18" s="334"/>
      <c r="BU18" s="335"/>
      <c r="BV18" s="333">
        <f t="shared" ref="BV18" si="14">SUM(BV16:CB16)</f>
        <v>470</v>
      </c>
      <c r="BW18" s="334"/>
      <c r="BX18" s="334"/>
      <c r="BY18" s="334"/>
      <c r="BZ18" s="334"/>
      <c r="CA18" s="334"/>
      <c r="CB18" s="335"/>
      <c r="CC18" s="333">
        <f>SUM(CC14:CI15)</f>
        <v>1671</v>
      </c>
      <c r="CD18" s="334"/>
      <c r="CE18" s="334"/>
      <c r="CF18" s="334"/>
      <c r="CG18" s="334"/>
      <c r="CH18" s="334"/>
      <c r="CI18" s="335"/>
      <c r="CJ18" s="333">
        <f>SUM(CJ14:CP15)</f>
        <v>1575</v>
      </c>
      <c r="CK18" s="334"/>
      <c r="CL18" s="334"/>
      <c r="CM18" s="334"/>
      <c r="CN18" s="334"/>
      <c r="CO18" s="334"/>
      <c r="CP18" s="335"/>
      <c r="CQ18" s="333">
        <f>SUM(CQ14:CW15)</f>
        <v>2007</v>
      </c>
      <c r="CR18" s="334"/>
      <c r="CS18" s="334"/>
      <c r="CT18" s="334"/>
      <c r="CU18" s="334"/>
      <c r="CV18" s="334"/>
      <c r="CW18" s="335"/>
      <c r="CX18" s="333">
        <f>SUM(CX14:DD15)</f>
        <v>1657</v>
      </c>
      <c r="CY18" s="334"/>
      <c r="CZ18" s="334"/>
      <c r="DA18" s="334"/>
      <c r="DB18" s="334"/>
      <c r="DC18" s="334"/>
      <c r="DD18" s="335"/>
      <c r="DE18" s="333">
        <f>SUM(DE14:DK15)</f>
        <v>1144</v>
      </c>
      <c r="DF18" s="334"/>
      <c r="DG18" s="334"/>
      <c r="DH18" s="334"/>
      <c r="DI18" s="334"/>
      <c r="DJ18" s="334"/>
      <c r="DK18" s="335"/>
      <c r="DL18" s="333">
        <f>SUM(DL14:DR15)</f>
        <v>1932</v>
      </c>
      <c r="DM18" s="334"/>
      <c r="DN18" s="334"/>
      <c r="DO18" s="334"/>
      <c r="DP18" s="334"/>
      <c r="DQ18" s="334"/>
      <c r="DR18" s="335"/>
      <c r="DS18" s="333">
        <f>SUM(DS16:DY16)</f>
        <v>1709</v>
      </c>
      <c r="DT18" s="334"/>
      <c r="DU18" s="334"/>
      <c r="DV18" s="334"/>
      <c r="DW18" s="334"/>
      <c r="DX18" s="334"/>
      <c r="DY18" s="335"/>
      <c r="DZ18" s="333">
        <f>SUM(DZ16:EF16)</f>
        <v>2042</v>
      </c>
      <c r="EA18" s="334"/>
      <c r="EB18" s="334"/>
      <c r="EC18" s="334"/>
      <c r="ED18" s="334"/>
      <c r="EE18" s="334"/>
      <c r="EF18" s="335"/>
      <c r="EG18" s="333">
        <f>SUM(EG14:EM15)</f>
        <v>2020</v>
      </c>
      <c r="EH18" s="334"/>
      <c r="EI18" s="334"/>
      <c r="EJ18" s="334"/>
      <c r="EK18" s="334"/>
      <c r="EL18" s="334"/>
      <c r="EM18" s="335"/>
      <c r="EN18" s="333">
        <f t="shared" ref="EN18" si="15">SUM(EN14:ET15)</f>
        <v>2068</v>
      </c>
      <c r="EO18" s="334"/>
      <c r="EP18" s="334"/>
      <c r="EQ18" s="334"/>
      <c r="ER18" s="334"/>
      <c r="ES18" s="334"/>
      <c r="ET18" s="335"/>
      <c r="EU18" s="333">
        <f t="shared" ref="EU18" si="16">SUM(EU14:FA15)</f>
        <v>821</v>
      </c>
      <c r="EV18" s="334"/>
      <c r="EW18" s="334"/>
      <c r="EX18" s="334"/>
      <c r="EY18" s="334"/>
      <c r="EZ18" s="334"/>
      <c r="FA18" s="335"/>
      <c r="FB18" s="333">
        <f t="shared" ref="FB18" si="17">SUM(FB14:FH15)</f>
        <v>876</v>
      </c>
      <c r="FC18" s="334"/>
      <c r="FD18" s="334"/>
      <c r="FE18" s="334"/>
      <c r="FF18" s="334"/>
      <c r="FG18" s="334"/>
      <c r="FH18" s="335"/>
      <c r="FI18" s="333">
        <f t="shared" ref="FI18" si="18">SUM(FI14:FO15)</f>
        <v>1218</v>
      </c>
      <c r="FJ18" s="334"/>
      <c r="FK18" s="334"/>
      <c r="FL18" s="334"/>
      <c r="FM18" s="334"/>
      <c r="FN18" s="334"/>
      <c r="FO18" s="335"/>
      <c r="FP18" s="333">
        <f t="shared" ref="FP18" si="19">SUM(FP14:FV15)</f>
        <v>1852</v>
      </c>
      <c r="FQ18" s="334"/>
      <c r="FR18" s="334"/>
      <c r="FS18" s="334"/>
      <c r="FT18" s="334"/>
      <c r="FU18" s="334"/>
      <c r="FV18" s="335"/>
      <c r="FW18" s="333">
        <f t="shared" ref="FW18" si="20">SUM(FW14:GC15)</f>
        <v>0</v>
      </c>
      <c r="FX18" s="334"/>
      <c r="FY18" s="334"/>
      <c r="FZ18" s="334"/>
      <c r="GA18" s="334"/>
      <c r="GB18" s="334"/>
      <c r="GC18" s="335"/>
      <c r="GD18" s="333">
        <f t="shared" ref="GD18" si="21">SUM(GD14:GJ15)</f>
        <v>1039</v>
      </c>
      <c r="GE18" s="334"/>
      <c r="GF18" s="334"/>
      <c r="GG18" s="334"/>
      <c r="GH18" s="334"/>
      <c r="GI18" s="334"/>
      <c r="GJ18" s="335"/>
      <c r="GK18" s="333">
        <f t="shared" ref="GK18" si="22">SUM(GK14:GQ15)</f>
        <v>639</v>
      </c>
      <c r="GL18" s="334"/>
      <c r="GM18" s="334"/>
      <c r="GN18" s="334"/>
      <c r="GO18" s="334"/>
      <c r="GP18" s="334"/>
      <c r="GQ18" s="335"/>
      <c r="GR18" s="333">
        <f t="shared" ref="GR18" si="23">SUM(GR14:GX15)</f>
        <v>1079</v>
      </c>
      <c r="GS18" s="334"/>
      <c r="GT18" s="334"/>
      <c r="GU18" s="334"/>
      <c r="GV18" s="334"/>
      <c r="GW18" s="334"/>
      <c r="GX18" s="335"/>
      <c r="GY18" s="333">
        <f t="shared" ref="GY18" si="24">SUM(GY14:HE15)</f>
        <v>1426</v>
      </c>
      <c r="GZ18" s="334"/>
      <c r="HA18" s="334"/>
      <c r="HB18" s="334"/>
      <c r="HC18" s="334"/>
      <c r="HD18" s="334"/>
      <c r="HE18" s="335"/>
      <c r="HF18" s="333">
        <f t="shared" ref="HF18" si="25">SUM(HF14:HL15)</f>
        <v>0</v>
      </c>
      <c r="HG18" s="334"/>
      <c r="HH18" s="334"/>
      <c r="HI18" s="334"/>
      <c r="HJ18" s="334"/>
      <c r="HK18" s="334"/>
      <c r="HL18" s="335"/>
      <c r="HM18" s="333">
        <f t="shared" ref="HM18" si="26">SUM(HM14:HS15)</f>
        <v>0</v>
      </c>
      <c r="HN18" s="334"/>
      <c r="HO18" s="334"/>
      <c r="HP18" s="334"/>
      <c r="HQ18" s="334"/>
      <c r="HR18" s="334"/>
      <c r="HS18" s="335"/>
    </row>
    <row r="19" spans="1:227" x14ac:dyDescent="0.25">
      <c r="L19" s="46" t="s">
        <v>55</v>
      </c>
    </row>
    <row r="21" spans="1:227" ht="18.75" x14ac:dyDescent="0.3">
      <c r="C21" s="10" t="s">
        <v>14</v>
      </c>
    </row>
    <row r="22" spans="1:227" ht="18.75" x14ac:dyDescent="0.3">
      <c r="C22" s="13"/>
    </row>
  </sheetData>
  <mergeCells count="66">
    <mergeCell ref="FI3:FO3"/>
    <mergeCell ref="FP3:FV3"/>
    <mergeCell ref="FW3:GC3"/>
    <mergeCell ref="GD3:GJ3"/>
    <mergeCell ref="FI18:FO18"/>
    <mergeCell ref="FP18:FV18"/>
    <mergeCell ref="FW18:GC18"/>
    <mergeCell ref="GD18:GJ18"/>
    <mergeCell ref="BH3:BN3"/>
    <mergeCell ref="BO3:BU3"/>
    <mergeCell ref="BH18:BN18"/>
    <mergeCell ref="BO18:BU18"/>
    <mergeCell ref="Y18:AE18"/>
    <mergeCell ref="AF18:AL18"/>
    <mergeCell ref="AM18:AS18"/>
    <mergeCell ref="AT18:AZ18"/>
    <mergeCell ref="BA18:BG18"/>
    <mergeCell ref="Y3:AE3"/>
    <mergeCell ref="AF3:AL3"/>
    <mergeCell ref="AM3:AS3"/>
    <mergeCell ref="AT3:AZ3"/>
    <mergeCell ref="BA3:BG3"/>
    <mergeCell ref="A16:A17"/>
    <mergeCell ref="A5:A12"/>
    <mergeCell ref="K3:Q3"/>
    <mergeCell ref="R3:X3"/>
    <mergeCell ref="R18:X18"/>
    <mergeCell ref="K18:Q18"/>
    <mergeCell ref="D3:J3"/>
    <mergeCell ref="D18:J18"/>
    <mergeCell ref="BV3:CB3"/>
    <mergeCell ref="BV18:CB18"/>
    <mergeCell ref="CC3:CI3"/>
    <mergeCell ref="CJ3:CP3"/>
    <mergeCell ref="CQ3:CW3"/>
    <mergeCell ref="CX3:DD3"/>
    <mergeCell ref="DE3:DK3"/>
    <mergeCell ref="DL3:DR3"/>
    <mergeCell ref="DS3:DY3"/>
    <mergeCell ref="DZ3:EF3"/>
    <mergeCell ref="EG3:EM3"/>
    <mergeCell ref="EN3:ET3"/>
    <mergeCell ref="EU3:FA3"/>
    <mergeCell ref="FB3:FH3"/>
    <mergeCell ref="CC18:CI18"/>
    <mergeCell ref="CJ18:CP18"/>
    <mergeCell ref="CQ18:CW18"/>
    <mergeCell ref="CX18:DD18"/>
    <mergeCell ref="DE18:DK18"/>
    <mergeCell ref="DL18:DR18"/>
    <mergeCell ref="DS18:DY18"/>
    <mergeCell ref="DZ18:EF18"/>
    <mergeCell ref="EG18:EM18"/>
    <mergeCell ref="EN18:ET18"/>
    <mergeCell ref="EU18:FA18"/>
    <mergeCell ref="FB18:FH18"/>
    <mergeCell ref="GK3:GQ3"/>
    <mergeCell ref="GR3:GX3"/>
    <mergeCell ref="GY3:HE3"/>
    <mergeCell ref="HF3:HL3"/>
    <mergeCell ref="HM3:HS3"/>
    <mergeCell ref="GK18:GQ18"/>
    <mergeCell ref="GR18:GX18"/>
    <mergeCell ref="GY18:HE18"/>
    <mergeCell ref="HF18:HL18"/>
    <mergeCell ref="HM18:HS18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5CF0-FDE1-4E5C-A8AD-9183763366BC}">
  <dimension ref="B3:HM29"/>
  <sheetViews>
    <sheetView zoomScale="90" zoomScaleNormal="90" workbookViewId="0">
      <pane xSplit="95" ySplit="5" topLeftCell="GZ12" activePane="bottomRight" state="frozen"/>
      <selection pane="topRight" activeCell="CR1" sqref="CR1"/>
      <selection pane="bottomLeft" activeCell="A6" sqref="A6"/>
      <selection pane="bottomRight" activeCell="HD30" sqref="HD30"/>
    </sheetView>
  </sheetViews>
  <sheetFormatPr defaultColWidth="10.7109375" defaultRowHeight="15" x14ac:dyDescent="0.25"/>
  <cols>
    <col min="1" max="1" width="4.42578125" customWidth="1"/>
    <col min="2" max="2" width="13.42578125" customWidth="1"/>
    <col min="3" max="3" width="24.5703125" customWidth="1"/>
    <col min="4" max="4" width="36.85546875" customWidth="1"/>
    <col min="5" max="95" width="0" hidden="1" customWidth="1"/>
    <col min="187" max="193" width="11.5703125" bestFit="1" customWidth="1"/>
    <col min="194" max="198" width="11.7109375" bestFit="1" customWidth="1"/>
    <col min="199" max="214" width="11.5703125" bestFit="1" customWidth="1"/>
  </cols>
  <sheetData>
    <row r="3" spans="3:221" ht="15.75" thickBot="1" x14ac:dyDescent="0.3"/>
    <row r="4" spans="3:221" ht="15.75" thickBot="1" x14ac:dyDescent="0.3">
      <c r="E4" s="347" t="s">
        <v>23</v>
      </c>
      <c r="F4" s="348"/>
      <c r="G4" s="348"/>
      <c r="H4" s="348"/>
      <c r="I4" s="348"/>
      <c r="J4" s="348"/>
      <c r="K4" s="349"/>
      <c r="L4" s="347" t="s">
        <v>24</v>
      </c>
      <c r="M4" s="348"/>
      <c r="N4" s="348"/>
      <c r="O4" s="348"/>
      <c r="P4" s="348"/>
      <c r="Q4" s="348"/>
      <c r="R4" s="349"/>
      <c r="S4" s="347" t="s">
        <v>58</v>
      </c>
      <c r="T4" s="348"/>
      <c r="U4" s="348"/>
      <c r="V4" s="348"/>
      <c r="W4" s="348"/>
      <c r="X4" s="348"/>
      <c r="Y4" s="349"/>
      <c r="Z4" s="347" t="s">
        <v>66</v>
      </c>
      <c r="AA4" s="348"/>
      <c r="AB4" s="348"/>
      <c r="AC4" s="348"/>
      <c r="AD4" s="348"/>
      <c r="AE4" s="348"/>
      <c r="AF4" s="349"/>
      <c r="AG4" s="347" t="s">
        <v>67</v>
      </c>
      <c r="AH4" s="348"/>
      <c r="AI4" s="348"/>
      <c r="AJ4" s="348"/>
      <c r="AK4" s="348"/>
      <c r="AL4" s="348"/>
      <c r="AM4" s="349"/>
      <c r="AN4" s="347" t="s">
        <v>68</v>
      </c>
      <c r="AO4" s="348"/>
      <c r="AP4" s="348"/>
      <c r="AQ4" s="348"/>
      <c r="AR4" s="348"/>
      <c r="AS4" s="348"/>
      <c r="AT4" s="349"/>
      <c r="AU4" s="347" t="s">
        <v>69</v>
      </c>
      <c r="AV4" s="348"/>
      <c r="AW4" s="348"/>
      <c r="AX4" s="348"/>
      <c r="AY4" s="348"/>
      <c r="AZ4" s="348"/>
      <c r="BA4" s="349"/>
      <c r="BB4" s="347" t="s">
        <v>70</v>
      </c>
      <c r="BC4" s="348"/>
      <c r="BD4" s="348"/>
      <c r="BE4" s="348"/>
      <c r="BF4" s="348"/>
      <c r="BG4" s="348"/>
      <c r="BH4" s="349"/>
      <c r="BI4" s="347" t="s">
        <v>71</v>
      </c>
      <c r="BJ4" s="348"/>
      <c r="BK4" s="348"/>
      <c r="BL4" s="348"/>
      <c r="BM4" s="348"/>
      <c r="BN4" s="348"/>
      <c r="BO4" s="349"/>
      <c r="BP4" s="347" t="s">
        <v>72</v>
      </c>
      <c r="BQ4" s="348"/>
      <c r="BR4" s="348"/>
      <c r="BS4" s="348"/>
      <c r="BT4" s="348"/>
      <c r="BU4" s="348"/>
      <c r="BV4" s="349"/>
      <c r="BW4" s="347" t="s">
        <v>73</v>
      </c>
      <c r="BX4" s="348"/>
      <c r="BY4" s="348"/>
      <c r="BZ4" s="348"/>
      <c r="CA4" s="348"/>
      <c r="CB4" s="348"/>
      <c r="CC4" s="349"/>
      <c r="CD4" s="347" t="s">
        <v>74</v>
      </c>
      <c r="CE4" s="348"/>
      <c r="CF4" s="348"/>
      <c r="CG4" s="348"/>
      <c r="CH4" s="348"/>
      <c r="CI4" s="348"/>
      <c r="CJ4" s="349"/>
      <c r="CK4" s="347" t="s">
        <v>114</v>
      </c>
      <c r="CL4" s="348"/>
      <c r="CM4" s="348"/>
      <c r="CN4" s="348"/>
      <c r="CO4" s="348"/>
      <c r="CP4" s="348"/>
      <c r="CQ4" s="349"/>
      <c r="CR4" s="347" t="s">
        <v>115</v>
      </c>
      <c r="CS4" s="348"/>
      <c r="CT4" s="348"/>
      <c r="CU4" s="348"/>
      <c r="CV4" s="348"/>
      <c r="CW4" s="348"/>
      <c r="CX4" s="349"/>
      <c r="CY4" s="347" t="s">
        <v>116</v>
      </c>
      <c r="CZ4" s="348"/>
      <c r="DA4" s="348"/>
      <c r="DB4" s="348"/>
      <c r="DC4" s="348"/>
      <c r="DD4" s="348"/>
      <c r="DE4" s="349"/>
      <c r="DF4" s="347" t="s">
        <v>123</v>
      </c>
      <c r="DG4" s="348"/>
      <c r="DH4" s="348"/>
      <c r="DI4" s="348"/>
      <c r="DJ4" s="348"/>
      <c r="DK4" s="348"/>
      <c r="DL4" s="349"/>
      <c r="DM4" s="347" t="s">
        <v>127</v>
      </c>
      <c r="DN4" s="348"/>
      <c r="DO4" s="348"/>
      <c r="DP4" s="348"/>
      <c r="DQ4" s="348"/>
      <c r="DR4" s="348"/>
      <c r="DS4" s="349"/>
      <c r="DT4" s="347" t="s">
        <v>128</v>
      </c>
      <c r="DU4" s="348"/>
      <c r="DV4" s="348"/>
      <c r="DW4" s="348"/>
      <c r="DX4" s="348"/>
      <c r="DY4" s="348"/>
      <c r="DZ4" s="349"/>
      <c r="EA4" s="347" t="s">
        <v>129</v>
      </c>
      <c r="EB4" s="348"/>
      <c r="EC4" s="348"/>
      <c r="ED4" s="348"/>
      <c r="EE4" s="348"/>
      <c r="EF4" s="348"/>
      <c r="EG4" s="349"/>
      <c r="EH4" s="347" t="s">
        <v>130</v>
      </c>
      <c r="EI4" s="348"/>
      <c r="EJ4" s="348"/>
      <c r="EK4" s="348"/>
      <c r="EL4" s="348"/>
      <c r="EM4" s="348"/>
      <c r="EN4" s="349"/>
      <c r="EO4" s="347" t="s">
        <v>131</v>
      </c>
      <c r="EP4" s="348"/>
      <c r="EQ4" s="348"/>
      <c r="ER4" s="348"/>
      <c r="ES4" s="348"/>
      <c r="ET4" s="348"/>
      <c r="EU4" s="349"/>
      <c r="EV4" s="347" t="s">
        <v>166</v>
      </c>
      <c r="EW4" s="348"/>
      <c r="EX4" s="348"/>
      <c r="EY4" s="348"/>
      <c r="EZ4" s="348"/>
      <c r="FA4" s="348"/>
      <c r="FB4" s="349"/>
      <c r="FC4" s="347" t="s">
        <v>167</v>
      </c>
      <c r="FD4" s="348"/>
      <c r="FE4" s="348"/>
      <c r="FF4" s="348"/>
      <c r="FG4" s="348"/>
      <c r="FH4" s="348"/>
      <c r="FI4" s="349"/>
      <c r="FJ4" s="347" t="s">
        <v>168</v>
      </c>
      <c r="FK4" s="348"/>
      <c r="FL4" s="348"/>
      <c r="FM4" s="348"/>
      <c r="FN4" s="348"/>
      <c r="FO4" s="348"/>
      <c r="FP4" s="349"/>
      <c r="FQ4" s="347" t="s">
        <v>169</v>
      </c>
      <c r="FR4" s="348"/>
      <c r="FS4" s="348"/>
      <c r="FT4" s="348"/>
      <c r="FU4" s="348"/>
      <c r="FV4" s="348"/>
      <c r="FW4" s="349"/>
      <c r="FX4" s="347" t="s">
        <v>170</v>
      </c>
      <c r="FY4" s="348"/>
      <c r="FZ4" s="348"/>
      <c r="GA4" s="348"/>
      <c r="GB4" s="348"/>
      <c r="GC4" s="348"/>
      <c r="GD4" s="349"/>
      <c r="GE4" s="347" t="s">
        <v>171</v>
      </c>
      <c r="GF4" s="348"/>
      <c r="GG4" s="348"/>
      <c r="GH4" s="348"/>
      <c r="GI4" s="348"/>
      <c r="GJ4" s="348"/>
      <c r="GK4" s="349"/>
      <c r="GL4" s="347" t="s">
        <v>180</v>
      </c>
      <c r="GM4" s="348"/>
      <c r="GN4" s="348"/>
      <c r="GO4" s="348"/>
      <c r="GP4" s="348"/>
      <c r="GQ4" s="348"/>
      <c r="GR4" s="349"/>
      <c r="GS4" s="347" t="s">
        <v>181</v>
      </c>
      <c r="GT4" s="348"/>
      <c r="GU4" s="348"/>
      <c r="GV4" s="348"/>
      <c r="GW4" s="348"/>
      <c r="GX4" s="348"/>
      <c r="GY4" s="349"/>
      <c r="GZ4" s="347" t="s">
        <v>182</v>
      </c>
      <c r="HA4" s="348"/>
      <c r="HB4" s="348"/>
      <c r="HC4" s="348"/>
      <c r="HD4" s="348"/>
      <c r="HE4" s="348"/>
      <c r="HF4" s="349"/>
      <c r="HG4" s="347" t="s">
        <v>183</v>
      </c>
      <c r="HH4" s="348"/>
      <c r="HI4" s="348"/>
      <c r="HJ4" s="348"/>
      <c r="HK4" s="348"/>
      <c r="HL4" s="348"/>
      <c r="HM4" s="349"/>
    </row>
    <row r="5" spans="3:221" ht="15.75" thickBot="1" x14ac:dyDescent="0.3">
      <c r="E5" s="11">
        <v>46020</v>
      </c>
      <c r="F5" s="11">
        <v>46021</v>
      </c>
      <c r="G5" s="11">
        <v>46022</v>
      </c>
      <c r="H5" s="11">
        <v>46023</v>
      </c>
      <c r="I5" s="11">
        <v>46024</v>
      </c>
      <c r="J5" s="11">
        <v>46025</v>
      </c>
      <c r="K5" s="11">
        <v>46026</v>
      </c>
      <c r="L5" s="11">
        <v>46027</v>
      </c>
      <c r="M5" s="11">
        <v>46028</v>
      </c>
      <c r="N5" s="11">
        <v>46029</v>
      </c>
      <c r="O5" s="11">
        <v>46030</v>
      </c>
      <c r="P5" s="11">
        <v>46031</v>
      </c>
      <c r="Q5" s="11">
        <v>46032</v>
      </c>
      <c r="R5" s="11">
        <v>46033</v>
      </c>
      <c r="S5" s="11">
        <v>46034</v>
      </c>
      <c r="T5" s="11">
        <v>46035</v>
      </c>
      <c r="U5" s="11">
        <v>46036</v>
      </c>
      <c r="V5" s="11">
        <v>46037</v>
      </c>
      <c r="W5" s="11">
        <v>46038</v>
      </c>
      <c r="X5" s="11">
        <v>46039</v>
      </c>
      <c r="Y5" s="11">
        <v>46040</v>
      </c>
      <c r="Z5" s="11">
        <v>46041</v>
      </c>
      <c r="AA5" s="11">
        <v>46042</v>
      </c>
      <c r="AB5" s="11">
        <v>46043</v>
      </c>
      <c r="AC5" s="11">
        <v>46044</v>
      </c>
      <c r="AD5" s="11">
        <v>46045</v>
      </c>
      <c r="AE5" s="11">
        <v>46046</v>
      </c>
      <c r="AF5" s="11">
        <v>46047</v>
      </c>
      <c r="AG5" s="11">
        <v>46048</v>
      </c>
      <c r="AH5" s="11">
        <v>46049</v>
      </c>
      <c r="AI5" s="11">
        <v>46050</v>
      </c>
      <c r="AJ5" s="11">
        <v>46051</v>
      </c>
      <c r="AK5" s="11">
        <v>46052</v>
      </c>
      <c r="AL5" s="11">
        <v>46053</v>
      </c>
      <c r="AM5" s="11">
        <v>46054</v>
      </c>
      <c r="AN5" s="11">
        <v>46055</v>
      </c>
      <c r="AO5" s="11">
        <v>46056</v>
      </c>
      <c r="AP5" s="11">
        <v>46057</v>
      </c>
      <c r="AQ5" s="11">
        <v>46058</v>
      </c>
      <c r="AR5" s="11">
        <v>46059</v>
      </c>
      <c r="AS5" s="11">
        <v>46060</v>
      </c>
      <c r="AT5" s="11">
        <v>46061</v>
      </c>
      <c r="AU5" s="11">
        <v>46062</v>
      </c>
      <c r="AV5" s="11">
        <v>46063</v>
      </c>
      <c r="AW5" s="11">
        <v>46064</v>
      </c>
      <c r="AX5" s="11">
        <v>46065</v>
      </c>
      <c r="AY5" s="11">
        <v>46066</v>
      </c>
      <c r="AZ5" s="11">
        <v>46067</v>
      </c>
      <c r="BA5" s="11">
        <v>46068</v>
      </c>
      <c r="BB5" s="11">
        <v>46069</v>
      </c>
      <c r="BC5" s="11">
        <v>46070</v>
      </c>
      <c r="BD5" s="11">
        <v>46071</v>
      </c>
      <c r="BE5" s="11">
        <v>46072</v>
      </c>
      <c r="BF5" s="11">
        <v>46073</v>
      </c>
      <c r="BG5" s="11">
        <v>46074</v>
      </c>
      <c r="BH5" s="11">
        <v>46075</v>
      </c>
      <c r="BI5" s="11">
        <v>46076</v>
      </c>
      <c r="BJ5" s="11">
        <v>46077</v>
      </c>
      <c r="BK5" s="11">
        <v>46078</v>
      </c>
      <c r="BL5" s="11">
        <v>46079</v>
      </c>
      <c r="BM5" s="11">
        <v>46080</v>
      </c>
      <c r="BN5" s="11">
        <v>46081</v>
      </c>
      <c r="BO5" s="11">
        <v>46082</v>
      </c>
      <c r="BP5" s="11">
        <v>46083</v>
      </c>
      <c r="BQ5" s="11">
        <v>46084</v>
      </c>
      <c r="BR5" s="11">
        <v>46085</v>
      </c>
      <c r="BS5" s="11">
        <v>46086</v>
      </c>
      <c r="BT5" s="11">
        <v>46087</v>
      </c>
      <c r="BU5" s="11">
        <v>46088</v>
      </c>
      <c r="BV5" s="11">
        <v>46089</v>
      </c>
      <c r="BW5" s="11">
        <v>46090</v>
      </c>
      <c r="BX5" s="11">
        <v>46091</v>
      </c>
      <c r="BY5" s="11">
        <v>46092</v>
      </c>
      <c r="BZ5" s="11">
        <v>46093</v>
      </c>
      <c r="CA5" s="11">
        <v>46094</v>
      </c>
      <c r="CB5" s="11">
        <v>46095</v>
      </c>
      <c r="CC5" s="11">
        <v>46096</v>
      </c>
      <c r="CD5" s="11">
        <v>46097</v>
      </c>
      <c r="CE5" s="11">
        <v>46098</v>
      </c>
      <c r="CF5" s="11">
        <v>46099</v>
      </c>
      <c r="CG5" s="11">
        <v>46100</v>
      </c>
      <c r="CH5" s="11">
        <v>46101</v>
      </c>
      <c r="CI5" s="11">
        <v>46102</v>
      </c>
      <c r="CJ5" s="11">
        <v>46103</v>
      </c>
      <c r="CK5" s="11">
        <v>46104</v>
      </c>
      <c r="CL5" s="11">
        <v>46105</v>
      </c>
      <c r="CM5" s="11">
        <v>46106</v>
      </c>
      <c r="CN5" s="11">
        <v>46107</v>
      </c>
      <c r="CO5" s="11">
        <v>46108</v>
      </c>
      <c r="CP5" s="11">
        <v>46109</v>
      </c>
      <c r="CQ5" s="11">
        <v>46110</v>
      </c>
      <c r="CR5" s="11">
        <v>46111</v>
      </c>
      <c r="CS5" s="11">
        <v>46112</v>
      </c>
      <c r="CT5" s="11">
        <v>46113</v>
      </c>
      <c r="CU5" s="11">
        <v>46114</v>
      </c>
      <c r="CV5" s="11">
        <v>46115</v>
      </c>
      <c r="CW5" s="11">
        <v>46116</v>
      </c>
      <c r="CX5" s="11">
        <v>46117</v>
      </c>
      <c r="CY5" s="11">
        <v>46118</v>
      </c>
      <c r="CZ5" s="11">
        <v>46119</v>
      </c>
      <c r="DA5" s="11">
        <v>46120</v>
      </c>
      <c r="DB5" s="11">
        <v>46121</v>
      </c>
      <c r="DC5" s="11">
        <v>46122</v>
      </c>
      <c r="DD5" s="11">
        <v>46123</v>
      </c>
      <c r="DE5" s="11">
        <v>46124</v>
      </c>
      <c r="DF5" s="11">
        <v>46125</v>
      </c>
      <c r="DG5" s="11">
        <v>46126</v>
      </c>
      <c r="DH5" s="11">
        <v>46127</v>
      </c>
      <c r="DI5" s="11">
        <v>46128</v>
      </c>
      <c r="DJ5" s="11">
        <v>46129</v>
      </c>
      <c r="DK5" s="11">
        <v>46130</v>
      </c>
      <c r="DL5" s="11">
        <v>46131</v>
      </c>
      <c r="DM5" s="11">
        <v>46132</v>
      </c>
      <c r="DN5" s="11">
        <v>46133</v>
      </c>
      <c r="DO5" s="11">
        <v>46134</v>
      </c>
      <c r="DP5" s="11">
        <v>46135</v>
      </c>
      <c r="DQ5" s="11">
        <v>46136</v>
      </c>
      <c r="DR5" s="11">
        <v>46137</v>
      </c>
      <c r="DS5" s="11">
        <v>46138</v>
      </c>
      <c r="DT5" s="11">
        <v>46139</v>
      </c>
      <c r="DU5" s="11">
        <v>46140</v>
      </c>
      <c r="DV5" s="11">
        <v>46141</v>
      </c>
      <c r="DW5" s="11">
        <v>46142</v>
      </c>
      <c r="DX5" s="11">
        <v>46143</v>
      </c>
      <c r="DY5" s="11">
        <v>46144</v>
      </c>
      <c r="DZ5" s="11">
        <v>46145</v>
      </c>
      <c r="EA5" s="11">
        <v>46146</v>
      </c>
      <c r="EB5" s="11">
        <v>46147</v>
      </c>
      <c r="EC5" s="11">
        <v>46148</v>
      </c>
      <c r="ED5" s="11">
        <v>46149</v>
      </c>
      <c r="EE5" s="11">
        <v>46150</v>
      </c>
      <c r="EF5" s="11">
        <v>46151</v>
      </c>
      <c r="EG5" s="11">
        <v>46152</v>
      </c>
      <c r="EH5" s="11">
        <v>46153</v>
      </c>
      <c r="EI5" s="11">
        <v>46154</v>
      </c>
      <c r="EJ5" s="11">
        <v>46155</v>
      </c>
      <c r="EK5" s="11">
        <v>46156</v>
      </c>
      <c r="EL5" s="11">
        <v>46157</v>
      </c>
      <c r="EM5" s="11">
        <v>46158</v>
      </c>
      <c r="EN5" s="11">
        <v>46159</v>
      </c>
      <c r="EO5" s="11">
        <v>46160</v>
      </c>
      <c r="EP5" s="11">
        <v>46161</v>
      </c>
      <c r="EQ5" s="11">
        <v>46162</v>
      </c>
      <c r="ER5" s="11">
        <v>46163</v>
      </c>
      <c r="ES5" s="11">
        <v>46164</v>
      </c>
      <c r="ET5" s="11">
        <v>46165</v>
      </c>
      <c r="EU5" s="11">
        <v>46166</v>
      </c>
      <c r="EV5" s="11">
        <v>46167</v>
      </c>
      <c r="EW5" s="11">
        <v>46168</v>
      </c>
      <c r="EX5" s="11">
        <v>46169</v>
      </c>
      <c r="EY5" s="11">
        <v>46170</v>
      </c>
      <c r="EZ5" s="11">
        <v>46171</v>
      </c>
      <c r="FA5" s="11">
        <v>46172</v>
      </c>
      <c r="FB5" s="11">
        <v>46173</v>
      </c>
      <c r="FC5" s="11">
        <v>46174</v>
      </c>
      <c r="FD5" s="11">
        <v>46175</v>
      </c>
      <c r="FE5" s="11">
        <v>46176</v>
      </c>
      <c r="FF5" s="11">
        <v>46177</v>
      </c>
      <c r="FG5" s="11">
        <v>46178</v>
      </c>
      <c r="FH5" s="11">
        <v>46179</v>
      </c>
      <c r="FI5" s="11">
        <v>46180</v>
      </c>
      <c r="FJ5" s="11">
        <v>46181</v>
      </c>
      <c r="FK5" s="11">
        <v>46182</v>
      </c>
      <c r="FL5" s="11">
        <v>46183</v>
      </c>
      <c r="FM5" s="11">
        <v>46184</v>
      </c>
      <c r="FN5" s="11">
        <v>46185</v>
      </c>
      <c r="FO5" s="11">
        <v>46186</v>
      </c>
      <c r="FP5" s="11">
        <v>46187</v>
      </c>
      <c r="FQ5" s="11">
        <v>46188</v>
      </c>
      <c r="FR5" s="11">
        <v>46189</v>
      </c>
      <c r="FS5" s="11">
        <v>46190</v>
      </c>
      <c r="FT5" s="11">
        <v>46191</v>
      </c>
      <c r="FU5" s="11">
        <v>46192</v>
      </c>
      <c r="FV5" s="11">
        <v>46193</v>
      </c>
      <c r="FW5" s="11">
        <v>46194</v>
      </c>
      <c r="FX5" s="11">
        <v>46195</v>
      </c>
      <c r="FY5" s="11">
        <v>46196</v>
      </c>
      <c r="FZ5" s="11">
        <v>46197</v>
      </c>
      <c r="GA5" s="11">
        <v>46198</v>
      </c>
      <c r="GB5" s="11">
        <v>46199</v>
      </c>
      <c r="GC5" s="11">
        <v>46200</v>
      </c>
      <c r="GD5" s="11">
        <v>46201</v>
      </c>
      <c r="GE5" s="11">
        <v>46202</v>
      </c>
      <c r="GF5" s="11">
        <v>46203</v>
      </c>
      <c r="GG5" s="11">
        <v>46204</v>
      </c>
      <c r="GH5" s="11">
        <v>46205</v>
      </c>
      <c r="GI5" s="11">
        <v>46206</v>
      </c>
      <c r="GJ5" s="11">
        <v>46207</v>
      </c>
      <c r="GK5" s="11">
        <v>46208</v>
      </c>
      <c r="GL5" s="11">
        <v>46209</v>
      </c>
      <c r="GM5" s="11">
        <v>46210</v>
      </c>
      <c r="GN5" s="11">
        <v>46211</v>
      </c>
      <c r="GO5" s="11">
        <v>46212</v>
      </c>
      <c r="GP5" s="11">
        <v>46213</v>
      </c>
      <c r="GQ5" s="11">
        <v>46214</v>
      </c>
      <c r="GR5" s="11">
        <v>46215</v>
      </c>
      <c r="GS5" s="11">
        <v>46216</v>
      </c>
      <c r="GT5" s="11">
        <v>46217</v>
      </c>
      <c r="GU5" s="11">
        <v>46218</v>
      </c>
      <c r="GV5" s="11">
        <v>46219</v>
      </c>
      <c r="GW5" s="11">
        <v>46220</v>
      </c>
      <c r="GX5" s="11">
        <v>46221</v>
      </c>
      <c r="GY5" s="11">
        <v>46222</v>
      </c>
      <c r="GZ5" s="11">
        <v>46223</v>
      </c>
      <c r="HA5" s="11">
        <v>46224</v>
      </c>
      <c r="HB5" s="11">
        <v>46225</v>
      </c>
      <c r="HC5" s="11">
        <v>46226</v>
      </c>
      <c r="HD5" s="11">
        <v>46227</v>
      </c>
      <c r="HE5" s="11">
        <v>46228</v>
      </c>
      <c r="HF5" s="11">
        <v>46229</v>
      </c>
      <c r="HG5" s="11">
        <v>46230</v>
      </c>
      <c r="HH5" s="11">
        <v>46231</v>
      </c>
      <c r="HI5" s="11">
        <v>46232</v>
      </c>
      <c r="HJ5" s="11">
        <v>46233</v>
      </c>
      <c r="HK5" s="11">
        <v>46234</v>
      </c>
      <c r="HL5" s="11">
        <v>46235</v>
      </c>
      <c r="HM5" s="11">
        <v>46236</v>
      </c>
    </row>
    <row r="6" spans="3:221" ht="32.25" customHeight="1" thickBot="1" x14ac:dyDescent="0.3">
      <c r="C6" s="353" t="s">
        <v>43</v>
      </c>
      <c r="D6" s="18" t="s">
        <v>31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</row>
    <row r="7" spans="3:221" ht="32.25" customHeight="1" thickBot="1" x14ac:dyDescent="0.3">
      <c r="C7" s="354"/>
      <c r="D7" s="18" t="s">
        <v>32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</row>
    <row r="8" spans="3:221" ht="32.25" customHeight="1" thickBot="1" x14ac:dyDescent="0.3">
      <c r="C8" s="354"/>
      <c r="D8" s="18" t="s">
        <v>33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</row>
    <row r="9" spans="3:221" ht="32.25" customHeight="1" thickBot="1" x14ac:dyDescent="0.3">
      <c r="C9" s="354"/>
      <c r="D9" s="18" t="s">
        <v>38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</row>
    <row r="10" spans="3:221" ht="32.25" customHeight="1" thickBot="1" x14ac:dyDescent="0.3">
      <c r="C10" s="354"/>
      <c r="D10" s="18" t="s">
        <v>34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</row>
    <row r="11" spans="3:221" ht="32.25" customHeight="1" thickBot="1" x14ac:dyDescent="0.3">
      <c r="C11" s="354"/>
      <c r="D11" s="18" t="s">
        <v>39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</row>
    <row r="12" spans="3:221" ht="32.25" customHeight="1" thickBot="1" x14ac:dyDescent="0.3">
      <c r="C12" s="354"/>
      <c r="D12" s="19" t="s">
        <v>35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</row>
    <row r="13" spans="3:221" ht="32.25" customHeight="1" thickBot="1" x14ac:dyDescent="0.3">
      <c r="C13" s="354"/>
      <c r="D13" s="19" t="s">
        <v>40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</row>
    <row r="14" spans="3:221" ht="32.25" customHeight="1" thickBot="1" x14ac:dyDescent="0.3">
      <c r="C14" s="354"/>
      <c r="D14" s="18" t="s">
        <v>36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</row>
    <row r="15" spans="3:221" ht="32.25" customHeight="1" thickBot="1" x14ac:dyDescent="0.3">
      <c r="C15" s="354"/>
      <c r="D15" s="18" t="s">
        <v>41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</row>
    <row r="16" spans="3:221" ht="32.25" customHeight="1" thickBot="1" x14ac:dyDescent="0.3">
      <c r="C16" s="354"/>
      <c r="D16" s="18" t="s">
        <v>37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</row>
    <row r="17" spans="2:221" ht="34.5" customHeight="1" thickBot="1" x14ac:dyDescent="0.3">
      <c r="C17" s="355"/>
      <c r="D17" s="18" t="s">
        <v>42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</row>
    <row r="18" spans="2:221" ht="9.75" customHeight="1" thickBot="1" x14ac:dyDescent="0.3">
      <c r="C18" s="20"/>
      <c r="D18" s="21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</row>
    <row r="19" spans="2:221" ht="19.5" customHeight="1" thickBot="1" x14ac:dyDescent="0.3">
      <c r="B19" s="350" t="s">
        <v>13</v>
      </c>
      <c r="C19" s="356" t="s">
        <v>0</v>
      </c>
      <c r="D19" s="1" t="s">
        <v>4</v>
      </c>
      <c r="E19" s="36">
        <v>0</v>
      </c>
      <c r="F19" s="36">
        <v>0</v>
      </c>
      <c r="G19" s="36"/>
      <c r="H19" s="36"/>
      <c r="I19" s="36"/>
      <c r="J19" s="36"/>
      <c r="K19" s="36"/>
      <c r="L19" s="36">
        <v>0</v>
      </c>
      <c r="M19" s="36">
        <v>0</v>
      </c>
      <c r="N19" s="36">
        <v>2</v>
      </c>
      <c r="O19" s="36">
        <v>1</v>
      </c>
      <c r="P19" s="36"/>
      <c r="Q19" s="36"/>
      <c r="R19" s="36"/>
      <c r="S19" s="36">
        <v>4</v>
      </c>
      <c r="T19" s="36">
        <v>4</v>
      </c>
      <c r="U19" s="36">
        <v>4</v>
      </c>
      <c r="V19" s="36">
        <v>3</v>
      </c>
      <c r="W19" s="36">
        <v>1</v>
      </c>
      <c r="X19" s="36"/>
      <c r="Y19" s="36"/>
      <c r="Z19" s="36">
        <v>0</v>
      </c>
      <c r="AA19" s="36">
        <v>4</v>
      </c>
      <c r="AB19" s="36">
        <v>2</v>
      </c>
      <c r="AC19" s="36">
        <v>2</v>
      </c>
      <c r="AD19" s="36">
        <v>3</v>
      </c>
      <c r="AE19" s="36">
        <v>0</v>
      </c>
      <c r="AF19" s="36"/>
      <c r="AG19" s="36">
        <v>0</v>
      </c>
      <c r="AH19" s="36">
        <v>3</v>
      </c>
      <c r="AI19" s="36">
        <v>1</v>
      </c>
      <c r="AJ19" s="36">
        <v>2</v>
      </c>
      <c r="AK19" s="36">
        <v>0</v>
      </c>
      <c r="AL19" s="36"/>
      <c r="AM19" s="36"/>
      <c r="AN19" s="36">
        <v>1</v>
      </c>
      <c r="AO19" s="36">
        <v>1</v>
      </c>
      <c r="AP19" s="36">
        <v>0</v>
      </c>
      <c r="AQ19" s="36">
        <v>1</v>
      </c>
      <c r="AR19" s="36">
        <v>1</v>
      </c>
      <c r="AS19" s="36"/>
      <c r="AT19" s="36"/>
      <c r="AU19" s="36">
        <v>1</v>
      </c>
      <c r="AV19" s="36">
        <v>0</v>
      </c>
      <c r="AW19" s="36">
        <v>5</v>
      </c>
      <c r="AX19" s="36">
        <v>4</v>
      </c>
      <c r="AY19" s="36">
        <v>1</v>
      </c>
      <c r="AZ19" s="36"/>
      <c r="BA19" s="36"/>
      <c r="BB19" s="36">
        <v>0</v>
      </c>
      <c r="BC19" s="36">
        <v>3</v>
      </c>
      <c r="BD19" s="36">
        <v>2</v>
      </c>
      <c r="BE19" s="36">
        <v>0</v>
      </c>
      <c r="BF19" s="36">
        <v>0</v>
      </c>
      <c r="BG19" s="36"/>
      <c r="BH19" s="36"/>
      <c r="BI19" s="36">
        <v>0</v>
      </c>
      <c r="BJ19" s="36">
        <v>1</v>
      </c>
      <c r="BK19" s="36">
        <v>4</v>
      </c>
      <c r="BL19" s="36">
        <v>2</v>
      </c>
      <c r="BM19" s="36">
        <v>0</v>
      </c>
      <c r="BN19" s="36">
        <v>0</v>
      </c>
      <c r="BO19" s="36"/>
      <c r="BP19" s="36">
        <v>2</v>
      </c>
      <c r="BQ19" s="36">
        <v>4</v>
      </c>
      <c r="BR19" s="36">
        <v>1</v>
      </c>
      <c r="BS19" s="36">
        <v>2</v>
      </c>
      <c r="BT19" s="36">
        <v>4</v>
      </c>
      <c r="BU19" s="36">
        <v>0</v>
      </c>
      <c r="BV19" s="36"/>
      <c r="BW19" s="36">
        <v>0</v>
      </c>
      <c r="BX19" s="36">
        <v>0</v>
      </c>
      <c r="BY19" s="36">
        <v>3</v>
      </c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>
        <v>4</v>
      </c>
      <c r="CU19" s="36">
        <v>6</v>
      </c>
      <c r="CV19" s="36">
        <v>3</v>
      </c>
      <c r="CW19" s="36"/>
      <c r="CX19" s="36"/>
      <c r="CY19" s="36"/>
      <c r="CZ19" s="36">
        <v>3</v>
      </c>
      <c r="DA19" s="36">
        <v>0</v>
      </c>
      <c r="DB19" s="36">
        <v>4</v>
      </c>
      <c r="DC19" s="36">
        <v>2</v>
      </c>
      <c r="DD19" s="36">
        <v>0</v>
      </c>
      <c r="DE19" s="36"/>
      <c r="DF19" s="36">
        <v>4</v>
      </c>
      <c r="DG19" s="36">
        <v>2</v>
      </c>
      <c r="DH19" s="36"/>
      <c r="DI19" s="36"/>
      <c r="DJ19" s="36"/>
      <c r="DK19" s="36"/>
      <c r="DL19" s="36"/>
      <c r="DM19" s="39"/>
      <c r="DN19" s="39"/>
      <c r="DO19" s="39"/>
      <c r="DP19" s="39"/>
      <c r="DQ19" s="39"/>
      <c r="DR19" s="36"/>
      <c r="DS19" s="36"/>
      <c r="DT19" s="36">
        <v>0</v>
      </c>
      <c r="DU19" s="36">
        <v>0</v>
      </c>
      <c r="DV19" s="36">
        <v>0</v>
      </c>
      <c r="DW19" s="36">
        <v>0</v>
      </c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>
        <v>4</v>
      </c>
      <c r="FO19" s="36"/>
      <c r="FP19" s="36"/>
      <c r="FQ19" s="36"/>
      <c r="FR19" s="36"/>
      <c r="FS19" s="36"/>
      <c r="FT19" s="36"/>
      <c r="FU19" s="36"/>
      <c r="FV19" s="36"/>
      <c r="FW19" s="36"/>
      <c r="FX19" s="42">
        <f t="shared" ref="FX19:GB19" si="0">FX15+FX17</f>
        <v>0</v>
      </c>
      <c r="FY19" s="42">
        <f t="shared" si="0"/>
        <v>0</v>
      </c>
      <c r="FZ19" s="42">
        <f t="shared" si="0"/>
        <v>0</v>
      </c>
      <c r="GA19" s="42">
        <f t="shared" si="0"/>
        <v>0</v>
      </c>
      <c r="GB19" s="42">
        <f t="shared" si="0"/>
        <v>0</v>
      </c>
      <c r="GC19" s="36"/>
      <c r="GD19" s="36"/>
      <c r="GE19" s="36"/>
      <c r="GF19" s="36"/>
      <c r="GG19" s="36"/>
      <c r="GH19" s="36">
        <v>7</v>
      </c>
      <c r="GI19" s="36">
        <v>5</v>
      </c>
      <c r="GJ19" s="36"/>
      <c r="GK19" s="36"/>
      <c r="GL19" s="36"/>
      <c r="GM19" s="36">
        <v>3</v>
      </c>
      <c r="GN19" s="36"/>
      <c r="GO19" s="36"/>
      <c r="GP19" s="36">
        <v>4</v>
      </c>
      <c r="GQ19" s="36"/>
      <c r="GR19" s="36"/>
      <c r="GS19" s="36">
        <v>1</v>
      </c>
      <c r="GT19" s="36">
        <v>4</v>
      </c>
      <c r="GU19" s="36">
        <v>3</v>
      </c>
      <c r="GV19" s="36">
        <v>10</v>
      </c>
      <c r="GW19" s="36"/>
      <c r="GX19" s="36"/>
      <c r="GY19" s="36"/>
      <c r="GZ19" s="36">
        <v>9</v>
      </c>
      <c r="HA19" s="36">
        <v>5</v>
      </c>
      <c r="HB19" s="36">
        <v>10</v>
      </c>
      <c r="HC19" s="36">
        <v>5</v>
      </c>
      <c r="HD19" s="36">
        <v>4</v>
      </c>
      <c r="HE19" s="36"/>
      <c r="HF19" s="36"/>
      <c r="HG19" s="36"/>
      <c r="HH19" s="36"/>
      <c r="HI19" s="36"/>
      <c r="HJ19" s="36"/>
      <c r="HK19" s="36"/>
      <c r="HL19" s="36"/>
      <c r="HM19" s="36"/>
    </row>
    <row r="20" spans="2:221" ht="15.75" customHeight="1" thickBot="1" x14ac:dyDescent="0.3">
      <c r="B20" s="351"/>
      <c r="C20" s="357"/>
      <c r="D20" s="3" t="s">
        <v>5</v>
      </c>
      <c r="E20" s="37">
        <v>0</v>
      </c>
      <c r="F20" s="37">
        <v>0</v>
      </c>
      <c r="G20" s="37"/>
      <c r="H20" s="37"/>
      <c r="I20" s="37"/>
      <c r="J20" s="37"/>
      <c r="K20" s="37"/>
      <c r="L20" s="37">
        <v>0</v>
      </c>
      <c r="M20" s="37">
        <v>0</v>
      </c>
      <c r="N20" s="37">
        <v>2</v>
      </c>
      <c r="O20" s="37">
        <v>2</v>
      </c>
      <c r="P20" s="37"/>
      <c r="Q20" s="37"/>
      <c r="R20" s="37"/>
      <c r="S20" s="37">
        <v>3</v>
      </c>
      <c r="T20" s="37">
        <v>4</v>
      </c>
      <c r="U20" s="37">
        <v>4</v>
      </c>
      <c r="V20" s="37">
        <v>1</v>
      </c>
      <c r="W20" s="37">
        <v>1</v>
      </c>
      <c r="X20" s="37"/>
      <c r="Y20" s="37"/>
      <c r="Z20" s="37">
        <v>2</v>
      </c>
      <c r="AA20" s="37">
        <v>4</v>
      </c>
      <c r="AB20" s="37">
        <v>2</v>
      </c>
      <c r="AC20" s="37">
        <v>2</v>
      </c>
      <c r="AD20" s="37">
        <v>4</v>
      </c>
      <c r="AE20" s="37">
        <v>0</v>
      </c>
      <c r="AF20" s="37"/>
      <c r="AG20" s="37">
        <v>0</v>
      </c>
      <c r="AH20" s="37">
        <v>3</v>
      </c>
      <c r="AI20" s="37">
        <v>0</v>
      </c>
      <c r="AJ20" s="37">
        <v>2</v>
      </c>
      <c r="AK20" s="37">
        <v>0</v>
      </c>
      <c r="AL20" s="37"/>
      <c r="AM20" s="37"/>
      <c r="AN20" s="37">
        <v>2</v>
      </c>
      <c r="AO20" s="37">
        <v>1</v>
      </c>
      <c r="AP20" s="37">
        <v>0</v>
      </c>
      <c r="AQ20" s="37">
        <v>1</v>
      </c>
      <c r="AR20" s="37">
        <v>0</v>
      </c>
      <c r="AS20" s="37"/>
      <c r="AT20" s="37"/>
      <c r="AU20" s="37">
        <v>1</v>
      </c>
      <c r="AV20" s="37">
        <v>0</v>
      </c>
      <c r="AW20" s="37">
        <v>5</v>
      </c>
      <c r="AX20" s="37">
        <v>4</v>
      </c>
      <c r="AY20" s="37">
        <v>0</v>
      </c>
      <c r="AZ20" s="37"/>
      <c r="BA20" s="37"/>
      <c r="BB20" s="37">
        <v>1</v>
      </c>
      <c r="BC20" s="37">
        <v>1</v>
      </c>
      <c r="BD20" s="37">
        <v>3</v>
      </c>
      <c r="BE20" s="37">
        <v>0</v>
      </c>
      <c r="BF20" s="37">
        <v>0</v>
      </c>
      <c r="BG20" s="37"/>
      <c r="BH20" s="37"/>
      <c r="BI20" s="37">
        <v>0</v>
      </c>
      <c r="BJ20" s="37">
        <v>1</v>
      </c>
      <c r="BK20" s="37">
        <v>3</v>
      </c>
      <c r="BL20" s="37">
        <v>2</v>
      </c>
      <c r="BM20" s="37">
        <v>0</v>
      </c>
      <c r="BN20" s="37">
        <v>0</v>
      </c>
      <c r="BO20" s="37"/>
      <c r="BP20" s="37">
        <v>2</v>
      </c>
      <c r="BQ20" s="37">
        <v>3</v>
      </c>
      <c r="BR20" s="37">
        <v>1</v>
      </c>
      <c r="BS20" s="37">
        <v>2</v>
      </c>
      <c r="BT20" s="37">
        <v>3</v>
      </c>
      <c r="BU20" s="37">
        <v>0</v>
      </c>
      <c r="BV20" s="37"/>
      <c r="BW20" s="37">
        <v>0</v>
      </c>
      <c r="BX20" s="37">
        <v>0</v>
      </c>
      <c r="BY20" s="37">
        <v>2</v>
      </c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>
        <v>4</v>
      </c>
      <c r="CU20" s="37"/>
      <c r="CV20" s="37">
        <v>6</v>
      </c>
      <c r="CW20" s="37"/>
      <c r="CX20" s="37"/>
      <c r="CY20" s="37"/>
      <c r="CZ20" s="37">
        <v>1</v>
      </c>
      <c r="DA20" s="37">
        <v>1</v>
      </c>
      <c r="DB20" s="37">
        <v>4</v>
      </c>
      <c r="DC20" s="37">
        <v>2</v>
      </c>
      <c r="DD20" s="37">
        <v>1</v>
      </c>
      <c r="DE20" s="37"/>
      <c r="DF20" s="37">
        <v>4</v>
      </c>
      <c r="DG20" s="37">
        <v>2</v>
      </c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>
        <v>0</v>
      </c>
      <c r="DU20" s="37">
        <v>0</v>
      </c>
      <c r="DV20" s="37">
        <v>0</v>
      </c>
      <c r="DW20" s="37">
        <v>0</v>
      </c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43">
        <f t="shared" ref="FX20:GB20" si="1">FX16+FX18</f>
        <v>0</v>
      </c>
      <c r="FY20" s="43">
        <f t="shared" si="1"/>
        <v>0</v>
      </c>
      <c r="FZ20" s="43">
        <f t="shared" si="1"/>
        <v>0</v>
      </c>
      <c r="GA20" s="43">
        <f t="shared" si="1"/>
        <v>0</v>
      </c>
      <c r="GB20" s="43">
        <f t="shared" si="1"/>
        <v>0</v>
      </c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>
        <v>3</v>
      </c>
      <c r="GN20" s="37"/>
      <c r="GO20" s="37"/>
      <c r="GP20" s="37">
        <v>4</v>
      </c>
      <c r="GQ20" s="37"/>
      <c r="GR20" s="37"/>
      <c r="GS20" s="37"/>
      <c r="GT20" s="37">
        <v>4</v>
      </c>
      <c r="GU20" s="37">
        <v>3</v>
      </c>
      <c r="GV20" s="37">
        <v>9</v>
      </c>
      <c r="GW20" s="37"/>
      <c r="GX20" s="37"/>
      <c r="GY20" s="37"/>
      <c r="GZ20" s="36">
        <v>9</v>
      </c>
      <c r="HA20" s="36">
        <v>5</v>
      </c>
      <c r="HB20" s="36">
        <v>10</v>
      </c>
      <c r="HC20" s="36">
        <v>5</v>
      </c>
      <c r="HD20" s="37">
        <v>4</v>
      </c>
      <c r="HE20" s="37"/>
      <c r="HF20" s="37"/>
      <c r="HG20" s="37"/>
      <c r="HH20" s="37"/>
      <c r="HI20" s="37"/>
      <c r="HJ20" s="37"/>
      <c r="HK20" s="37"/>
      <c r="HL20" s="37"/>
      <c r="HM20" s="37"/>
    </row>
    <row r="21" spans="2:221" ht="15" customHeight="1" x14ac:dyDescent="0.25">
      <c r="B21" s="351"/>
      <c r="C21" s="358" t="s">
        <v>1</v>
      </c>
      <c r="D21" s="4" t="s">
        <v>4</v>
      </c>
      <c r="E21" s="39"/>
      <c r="F21" s="38"/>
      <c r="G21" s="38"/>
      <c r="H21" s="38"/>
      <c r="I21" s="38"/>
      <c r="J21" s="38"/>
      <c r="K21" s="38"/>
      <c r="L21" s="39"/>
      <c r="M21" s="38"/>
      <c r="N21" s="38"/>
      <c r="O21" s="38"/>
      <c r="P21" s="38"/>
      <c r="Q21" s="38"/>
      <c r="R21" s="38"/>
      <c r="S21" s="39"/>
      <c r="T21" s="38"/>
      <c r="U21" s="38"/>
      <c r="V21" s="38"/>
      <c r="W21" s="38"/>
      <c r="X21" s="38"/>
      <c r="Y21" s="38"/>
      <c r="Z21" s="39"/>
      <c r="AA21" s="38"/>
      <c r="AB21" s="38"/>
      <c r="AC21" s="38"/>
      <c r="AD21" s="38"/>
      <c r="AE21" s="38"/>
      <c r="AF21" s="38"/>
      <c r="AG21" s="39"/>
      <c r="AH21" s="38"/>
      <c r="AI21" s="38"/>
      <c r="AJ21" s="38"/>
      <c r="AK21" s="38"/>
      <c r="AL21" s="38"/>
      <c r="AM21" s="38"/>
      <c r="AN21" s="39"/>
      <c r="AO21" s="38"/>
      <c r="AP21" s="38"/>
      <c r="AQ21" s="47"/>
      <c r="AR21" s="36"/>
      <c r="AS21" s="36"/>
      <c r="AT21" s="36"/>
      <c r="AU21" s="47">
        <v>1</v>
      </c>
      <c r="AV21" s="36">
        <v>1</v>
      </c>
      <c r="AW21" s="36">
        <v>1</v>
      </c>
      <c r="AX21" s="36">
        <v>1</v>
      </c>
      <c r="AY21" s="36">
        <v>2</v>
      </c>
      <c r="AZ21" s="36"/>
      <c r="BA21" s="36"/>
      <c r="BB21" s="47">
        <v>2</v>
      </c>
      <c r="BC21" s="36">
        <v>0</v>
      </c>
      <c r="BD21" s="36">
        <v>0</v>
      </c>
      <c r="BE21" s="36">
        <v>0</v>
      </c>
      <c r="BF21" s="36">
        <v>0</v>
      </c>
      <c r="BG21" s="36"/>
      <c r="BH21" s="36"/>
      <c r="BI21" s="47">
        <v>0</v>
      </c>
      <c r="BJ21" s="36">
        <v>1</v>
      </c>
      <c r="BK21" s="36">
        <v>1</v>
      </c>
      <c r="BL21" s="36">
        <v>1</v>
      </c>
      <c r="BM21" s="36">
        <v>0</v>
      </c>
      <c r="BN21" s="36"/>
      <c r="BO21" s="36"/>
      <c r="BP21" s="47">
        <v>0</v>
      </c>
      <c r="BQ21" s="36">
        <v>4</v>
      </c>
      <c r="BR21" s="36">
        <v>0</v>
      </c>
      <c r="BS21" s="36">
        <v>0</v>
      </c>
      <c r="BT21" s="36">
        <v>0</v>
      </c>
      <c r="BU21" s="36"/>
      <c r="BV21" s="36"/>
      <c r="BW21" s="47">
        <v>2</v>
      </c>
      <c r="BX21" s="36">
        <v>0</v>
      </c>
      <c r="BY21" s="36"/>
      <c r="BZ21" s="36"/>
      <c r="CA21" s="36"/>
      <c r="CB21" s="36"/>
      <c r="CC21" s="36"/>
      <c r="CD21" s="47"/>
      <c r="CE21" s="36"/>
      <c r="CF21" s="36"/>
      <c r="CG21" s="36"/>
      <c r="CH21" s="36"/>
      <c r="CI21" s="38"/>
      <c r="CJ21" s="38"/>
      <c r="CK21" s="47"/>
      <c r="CL21" s="36"/>
      <c r="CM21" s="36"/>
      <c r="CN21" s="36"/>
      <c r="CO21" s="36"/>
      <c r="CP21" s="38"/>
      <c r="CQ21" s="38"/>
      <c r="CR21" s="47"/>
      <c r="CS21" s="36"/>
      <c r="CT21" s="36">
        <v>4</v>
      </c>
      <c r="CU21" s="36"/>
      <c r="CV21" s="36"/>
      <c r="CW21" s="38"/>
      <c r="CX21" s="38"/>
      <c r="CY21" s="47"/>
      <c r="CZ21" s="36"/>
      <c r="DA21" s="36"/>
      <c r="DB21" s="36"/>
      <c r="DC21" s="36">
        <v>5</v>
      </c>
      <c r="DD21" s="38"/>
      <c r="DE21" s="38"/>
      <c r="DF21" s="47">
        <v>1</v>
      </c>
      <c r="DG21" s="36">
        <v>7</v>
      </c>
      <c r="DH21" s="36"/>
      <c r="DI21" s="36"/>
      <c r="DJ21" s="36"/>
      <c r="DK21" s="38"/>
      <c r="DL21" s="38"/>
      <c r="DM21" s="36"/>
      <c r="DN21" s="36"/>
      <c r="DO21" s="36"/>
      <c r="DP21" s="36"/>
      <c r="DQ21" s="36"/>
      <c r="DR21" s="36"/>
      <c r="DS21" s="36"/>
      <c r="DT21" s="36">
        <v>1</v>
      </c>
      <c r="DU21" s="36">
        <v>1</v>
      </c>
      <c r="DV21" s="36"/>
      <c r="DW21" s="36"/>
      <c r="DX21" s="36"/>
      <c r="DY21" s="36"/>
      <c r="DZ21" s="36"/>
      <c r="EA21" s="36">
        <v>0</v>
      </c>
      <c r="EB21" s="36">
        <v>0</v>
      </c>
      <c r="EC21" s="36">
        <v>0</v>
      </c>
      <c r="ED21" s="36">
        <v>0</v>
      </c>
      <c r="EE21" s="36">
        <v>0</v>
      </c>
      <c r="EF21" s="36">
        <v>0</v>
      </c>
      <c r="EG21" s="36">
        <v>0</v>
      </c>
      <c r="EH21" s="36">
        <v>0</v>
      </c>
      <c r="EI21" s="36">
        <v>0</v>
      </c>
      <c r="EJ21" s="36">
        <v>0</v>
      </c>
      <c r="EK21" s="36">
        <v>0</v>
      </c>
      <c r="EL21" s="36">
        <v>0</v>
      </c>
      <c r="EM21" s="36">
        <v>0</v>
      </c>
      <c r="EN21" s="36">
        <v>0</v>
      </c>
      <c r="EO21" s="36">
        <v>2</v>
      </c>
      <c r="EP21" s="36">
        <v>0</v>
      </c>
      <c r="EQ21" s="36">
        <v>0</v>
      </c>
      <c r="ER21" s="36">
        <v>0</v>
      </c>
      <c r="ES21" s="36">
        <v>0</v>
      </c>
      <c r="ET21" s="38"/>
      <c r="EU21" s="38"/>
      <c r="EV21" s="36">
        <v>0</v>
      </c>
      <c r="EW21" s="36">
        <v>0</v>
      </c>
      <c r="EX21" s="36">
        <v>0</v>
      </c>
      <c r="EY21" s="36">
        <v>0</v>
      </c>
      <c r="EZ21" s="36">
        <v>0</v>
      </c>
      <c r="FA21" s="38"/>
      <c r="FB21" s="38"/>
      <c r="FC21" s="36"/>
      <c r="FD21" s="36"/>
      <c r="FE21" s="36">
        <v>5</v>
      </c>
      <c r="FF21" s="36">
        <v>4</v>
      </c>
      <c r="FG21" s="36">
        <v>0</v>
      </c>
      <c r="FH21" s="38"/>
      <c r="FI21" s="38"/>
      <c r="FJ21" s="36"/>
      <c r="FK21" s="36"/>
      <c r="FL21" s="36"/>
      <c r="FM21" s="36"/>
      <c r="FN21" s="36"/>
      <c r="FO21" s="38"/>
      <c r="FP21" s="38"/>
      <c r="FQ21" s="36">
        <v>4</v>
      </c>
      <c r="FR21" s="36">
        <v>4</v>
      </c>
      <c r="FS21" s="36">
        <v>1</v>
      </c>
      <c r="FT21" s="36">
        <v>2</v>
      </c>
      <c r="FU21" s="36">
        <v>3</v>
      </c>
      <c r="FV21" s="38"/>
      <c r="FW21" s="38"/>
      <c r="FX21" s="36"/>
      <c r="FY21" s="36"/>
      <c r="FZ21" s="36"/>
      <c r="GA21" s="36"/>
      <c r="GB21" s="36"/>
      <c r="GC21" s="38"/>
      <c r="GD21" s="38"/>
      <c r="GE21" s="36"/>
      <c r="GF21" s="36">
        <v>2</v>
      </c>
      <c r="GG21" s="36">
        <v>2</v>
      </c>
      <c r="GH21" s="36">
        <v>5</v>
      </c>
      <c r="GI21" s="36">
        <v>3</v>
      </c>
      <c r="GJ21" s="38"/>
      <c r="GK21" s="38"/>
      <c r="GL21" s="36"/>
      <c r="GM21" s="36"/>
      <c r="GN21" s="36">
        <v>2</v>
      </c>
      <c r="GO21" s="36">
        <v>5</v>
      </c>
      <c r="GP21" s="36"/>
      <c r="GQ21" s="38"/>
      <c r="GR21" s="38"/>
      <c r="GS21" s="36"/>
      <c r="GT21" s="36">
        <v>0</v>
      </c>
      <c r="GU21" s="36">
        <v>6</v>
      </c>
      <c r="GV21" s="36">
        <v>3</v>
      </c>
      <c r="GW21" s="36"/>
      <c r="GX21" s="38"/>
      <c r="GY21" s="38"/>
      <c r="GZ21" s="36"/>
      <c r="HA21" s="36">
        <v>7</v>
      </c>
      <c r="HB21" s="36">
        <v>7</v>
      </c>
      <c r="HC21" s="36">
        <v>6</v>
      </c>
      <c r="HD21" s="36">
        <v>3</v>
      </c>
      <c r="HE21" s="38"/>
      <c r="HF21" s="38"/>
      <c r="HG21" s="36"/>
      <c r="HH21" s="36"/>
      <c r="HI21" s="36"/>
      <c r="HJ21" s="36"/>
      <c r="HK21" s="36"/>
      <c r="HL21" s="38"/>
      <c r="HM21" s="38"/>
    </row>
    <row r="22" spans="2:221" ht="15.75" customHeight="1" thickBot="1" x14ac:dyDescent="0.3">
      <c r="B22" s="351"/>
      <c r="C22" s="359"/>
      <c r="D22" s="5" t="s">
        <v>5</v>
      </c>
      <c r="E22" s="41"/>
      <c r="F22" s="40"/>
      <c r="G22" s="40"/>
      <c r="H22" s="40"/>
      <c r="I22" s="40"/>
      <c r="J22" s="40"/>
      <c r="K22" s="40"/>
      <c r="L22" s="41"/>
      <c r="M22" s="40"/>
      <c r="N22" s="40"/>
      <c r="O22" s="40"/>
      <c r="P22" s="40"/>
      <c r="Q22" s="40"/>
      <c r="R22" s="40"/>
      <c r="S22" s="41"/>
      <c r="T22" s="40"/>
      <c r="U22" s="40"/>
      <c r="V22" s="40"/>
      <c r="W22" s="40"/>
      <c r="X22" s="40"/>
      <c r="Y22" s="40"/>
      <c r="Z22" s="41"/>
      <c r="AA22" s="40"/>
      <c r="AB22" s="40"/>
      <c r="AC22" s="40"/>
      <c r="AD22" s="40"/>
      <c r="AE22" s="40"/>
      <c r="AF22" s="40"/>
      <c r="AG22" s="41"/>
      <c r="AH22" s="40"/>
      <c r="AI22" s="40"/>
      <c r="AJ22" s="40"/>
      <c r="AK22" s="40"/>
      <c r="AL22" s="40"/>
      <c r="AM22" s="40"/>
      <c r="AN22" s="41"/>
      <c r="AO22" s="40"/>
      <c r="AP22" s="40"/>
      <c r="AQ22" s="48"/>
      <c r="AR22" s="49"/>
      <c r="AS22" s="49"/>
      <c r="AT22" s="49"/>
      <c r="AU22" s="48">
        <v>0</v>
      </c>
      <c r="AV22" s="49">
        <v>0</v>
      </c>
      <c r="AW22" s="49">
        <v>0</v>
      </c>
      <c r="AX22" s="49">
        <v>0</v>
      </c>
      <c r="AY22" s="49">
        <v>0</v>
      </c>
      <c r="AZ22" s="49"/>
      <c r="BA22" s="49"/>
      <c r="BB22" s="48">
        <v>1</v>
      </c>
      <c r="BC22" s="49">
        <v>0</v>
      </c>
      <c r="BD22" s="49">
        <v>0</v>
      </c>
      <c r="BE22" s="49">
        <v>0</v>
      </c>
      <c r="BF22" s="49">
        <v>0</v>
      </c>
      <c r="BG22" s="49"/>
      <c r="BH22" s="49"/>
      <c r="BI22" s="48">
        <v>0</v>
      </c>
      <c r="BJ22" s="49">
        <v>1</v>
      </c>
      <c r="BK22" s="49">
        <v>1</v>
      </c>
      <c r="BL22" s="49">
        <v>1</v>
      </c>
      <c r="BM22" s="49">
        <v>0</v>
      </c>
      <c r="BN22" s="49"/>
      <c r="BO22" s="49"/>
      <c r="BP22" s="48">
        <v>0</v>
      </c>
      <c r="BQ22" s="49">
        <v>2</v>
      </c>
      <c r="BR22" s="49">
        <v>0</v>
      </c>
      <c r="BS22" s="49">
        <v>0</v>
      </c>
      <c r="BT22" s="49">
        <v>0</v>
      </c>
      <c r="BU22" s="49"/>
      <c r="BV22" s="49"/>
      <c r="BW22" s="48">
        <v>2</v>
      </c>
      <c r="BX22" s="49">
        <v>0</v>
      </c>
      <c r="BY22" s="49"/>
      <c r="BZ22" s="49"/>
      <c r="CA22" s="49"/>
      <c r="CB22" s="49"/>
      <c r="CC22" s="49"/>
      <c r="CD22" s="48"/>
      <c r="CE22" s="49"/>
      <c r="CF22" s="49"/>
      <c r="CG22" s="49"/>
      <c r="CH22" s="49"/>
      <c r="CI22" s="40"/>
      <c r="CJ22" s="40"/>
      <c r="CK22" s="48"/>
      <c r="CL22" s="49"/>
      <c r="CM22" s="49"/>
      <c r="CN22" s="49"/>
      <c r="CO22" s="49"/>
      <c r="CP22" s="40"/>
      <c r="CQ22" s="40"/>
      <c r="CR22" s="48"/>
      <c r="CS22" s="49"/>
      <c r="CT22" s="49"/>
      <c r="CU22" s="49"/>
      <c r="CV22" s="49"/>
      <c r="CW22" s="40"/>
      <c r="CX22" s="40"/>
      <c r="CY22" s="48"/>
      <c r="CZ22" s="49"/>
      <c r="DA22" s="49"/>
      <c r="DB22" s="49"/>
      <c r="DC22" s="49">
        <v>0</v>
      </c>
      <c r="DD22" s="40"/>
      <c r="DE22" s="40"/>
      <c r="DF22" s="48"/>
      <c r="DG22" s="49">
        <v>6</v>
      </c>
      <c r="DH22" s="49"/>
      <c r="DI22" s="49"/>
      <c r="DJ22" s="49"/>
      <c r="DK22" s="40"/>
      <c r="DL22" s="40"/>
      <c r="DM22" s="49"/>
      <c r="DN22" s="49"/>
      <c r="DO22" s="49"/>
      <c r="DP22" s="49"/>
      <c r="DQ22" s="49"/>
      <c r="DR22" s="49"/>
      <c r="DS22" s="49"/>
      <c r="DT22" s="49">
        <v>1</v>
      </c>
      <c r="DU22" s="49">
        <v>0</v>
      </c>
      <c r="DV22" s="49"/>
      <c r="DW22" s="49"/>
      <c r="DX22" s="49"/>
      <c r="DY22" s="49"/>
      <c r="DZ22" s="49"/>
      <c r="EA22" s="49">
        <v>0</v>
      </c>
      <c r="EB22" s="49">
        <v>0</v>
      </c>
      <c r="EC22" s="49">
        <v>0</v>
      </c>
      <c r="ED22" s="49">
        <v>0</v>
      </c>
      <c r="EE22" s="49">
        <v>0</v>
      </c>
      <c r="EF22" s="49">
        <v>0</v>
      </c>
      <c r="EG22" s="49">
        <v>0</v>
      </c>
      <c r="EH22" s="49">
        <v>0</v>
      </c>
      <c r="EI22" s="49">
        <v>0</v>
      </c>
      <c r="EJ22" s="49">
        <v>0</v>
      </c>
      <c r="EK22" s="49">
        <v>0</v>
      </c>
      <c r="EL22" s="49">
        <v>0</v>
      </c>
      <c r="EM22" s="49">
        <v>0</v>
      </c>
      <c r="EN22" s="49">
        <v>0</v>
      </c>
      <c r="EO22" s="49">
        <v>2</v>
      </c>
      <c r="EP22" s="49">
        <v>0</v>
      </c>
      <c r="EQ22" s="49">
        <v>0</v>
      </c>
      <c r="ER22" s="49">
        <v>0</v>
      </c>
      <c r="ES22" s="49">
        <v>0</v>
      </c>
      <c r="ET22" s="40"/>
      <c r="EU22" s="40"/>
      <c r="EV22" s="49"/>
      <c r="EW22" s="49"/>
      <c r="EX22" s="49"/>
      <c r="EY22" s="49"/>
      <c r="EZ22" s="49"/>
      <c r="FA22" s="40"/>
      <c r="FB22" s="40"/>
      <c r="FC22" s="49"/>
      <c r="FD22" s="49"/>
      <c r="FE22" s="49">
        <v>0</v>
      </c>
      <c r="FF22" s="49">
        <v>2</v>
      </c>
      <c r="FG22" s="49">
        <v>2</v>
      </c>
      <c r="FH22" s="40"/>
      <c r="FI22" s="40"/>
      <c r="FJ22" s="49"/>
      <c r="FK22" s="49"/>
      <c r="FL22" s="49"/>
      <c r="FM22" s="49"/>
      <c r="FN22" s="49"/>
      <c r="FO22" s="40"/>
      <c r="FP22" s="40"/>
      <c r="FQ22" s="49">
        <v>4</v>
      </c>
      <c r="FR22" s="49">
        <v>4</v>
      </c>
      <c r="FS22" s="49">
        <v>1</v>
      </c>
      <c r="FT22" s="49">
        <v>2</v>
      </c>
      <c r="FU22" s="49">
        <v>3</v>
      </c>
      <c r="FV22" s="40"/>
      <c r="FW22" s="40"/>
      <c r="FX22" s="49"/>
      <c r="FY22" s="49"/>
      <c r="FZ22" s="49"/>
      <c r="GA22" s="49"/>
      <c r="GB22" s="49"/>
      <c r="GC22" s="40"/>
      <c r="GD22" s="40"/>
      <c r="GE22" s="49"/>
      <c r="GF22" s="49">
        <v>2</v>
      </c>
      <c r="GG22" s="49">
        <v>2</v>
      </c>
      <c r="GH22" s="49">
        <v>5</v>
      </c>
      <c r="GI22" s="49">
        <v>3</v>
      </c>
      <c r="GJ22" s="40"/>
      <c r="GK22" s="40"/>
      <c r="GL22" s="49"/>
      <c r="GM22" s="49"/>
      <c r="GN22" s="49">
        <v>2</v>
      </c>
      <c r="GO22" s="49">
        <v>5</v>
      </c>
      <c r="GP22" s="49"/>
      <c r="GQ22" s="40"/>
      <c r="GR22" s="40"/>
      <c r="GS22" s="49"/>
      <c r="GT22" s="49">
        <v>0</v>
      </c>
      <c r="GU22" s="49">
        <v>6</v>
      </c>
      <c r="GV22" s="49">
        <v>3</v>
      </c>
      <c r="GW22" s="49"/>
      <c r="GX22" s="40"/>
      <c r="GY22" s="40"/>
      <c r="GZ22" s="49"/>
      <c r="HA22" s="49">
        <v>7</v>
      </c>
      <c r="HB22" s="49">
        <v>7</v>
      </c>
      <c r="HC22" s="49">
        <v>6</v>
      </c>
      <c r="HD22" s="49">
        <v>3</v>
      </c>
      <c r="HE22" s="40"/>
      <c r="HF22" s="40"/>
      <c r="HG22" s="49"/>
      <c r="HH22" s="49"/>
      <c r="HI22" s="49"/>
      <c r="HJ22" s="49"/>
      <c r="HK22" s="49"/>
      <c r="HL22" s="40"/>
      <c r="HM22" s="40"/>
    </row>
    <row r="23" spans="2:221" x14ac:dyDescent="0.25">
      <c r="B23" s="351"/>
      <c r="C23" s="339" t="s">
        <v>7</v>
      </c>
      <c r="D23" s="4" t="s">
        <v>4</v>
      </c>
      <c r="E23" s="42">
        <f t="shared" ref="E23:K23" si="2">E19+E21</f>
        <v>0</v>
      </c>
      <c r="F23" s="42">
        <f t="shared" si="2"/>
        <v>0</v>
      </c>
      <c r="G23" s="42">
        <f t="shared" si="2"/>
        <v>0</v>
      </c>
      <c r="H23" s="42">
        <f t="shared" si="2"/>
        <v>0</v>
      </c>
      <c r="I23" s="42">
        <f t="shared" si="2"/>
        <v>0</v>
      </c>
      <c r="J23" s="42">
        <f t="shared" si="2"/>
        <v>0</v>
      </c>
      <c r="K23" s="42">
        <f t="shared" si="2"/>
        <v>0</v>
      </c>
      <c r="L23" s="42">
        <f t="shared" ref="L23:R23" si="3">L19+L21</f>
        <v>0</v>
      </c>
      <c r="M23" s="42">
        <f t="shared" si="3"/>
        <v>0</v>
      </c>
      <c r="N23" s="42">
        <f t="shared" si="3"/>
        <v>2</v>
      </c>
      <c r="O23" s="42">
        <f t="shared" si="3"/>
        <v>1</v>
      </c>
      <c r="P23" s="42">
        <f t="shared" si="3"/>
        <v>0</v>
      </c>
      <c r="Q23" s="42">
        <f t="shared" si="3"/>
        <v>0</v>
      </c>
      <c r="R23" s="42">
        <f t="shared" si="3"/>
        <v>0</v>
      </c>
      <c r="S23" s="42">
        <f t="shared" ref="S23:Y23" si="4">S19+S21</f>
        <v>4</v>
      </c>
      <c r="T23" s="42">
        <f t="shared" si="4"/>
        <v>4</v>
      </c>
      <c r="U23" s="42">
        <f t="shared" si="4"/>
        <v>4</v>
      </c>
      <c r="V23" s="42">
        <f t="shared" si="4"/>
        <v>3</v>
      </c>
      <c r="W23" s="42">
        <f t="shared" si="4"/>
        <v>1</v>
      </c>
      <c r="X23" s="42">
        <f t="shared" si="4"/>
        <v>0</v>
      </c>
      <c r="Y23" s="42">
        <f t="shared" si="4"/>
        <v>0</v>
      </c>
      <c r="Z23" s="42">
        <f t="shared" ref="Z23:AF23" si="5">Z19+Z21</f>
        <v>0</v>
      </c>
      <c r="AA23" s="42">
        <f t="shared" si="5"/>
        <v>4</v>
      </c>
      <c r="AB23" s="42">
        <f t="shared" si="5"/>
        <v>2</v>
      </c>
      <c r="AC23" s="42">
        <f t="shared" si="5"/>
        <v>2</v>
      </c>
      <c r="AD23" s="42">
        <f t="shared" si="5"/>
        <v>3</v>
      </c>
      <c r="AE23" s="42">
        <f t="shared" si="5"/>
        <v>0</v>
      </c>
      <c r="AF23" s="42">
        <f t="shared" si="5"/>
        <v>0</v>
      </c>
      <c r="AG23" s="42">
        <f t="shared" ref="AG23:CJ23" si="6">AG19+AG21</f>
        <v>0</v>
      </c>
      <c r="AH23" s="42">
        <f t="shared" si="6"/>
        <v>3</v>
      </c>
      <c r="AI23" s="42">
        <f t="shared" si="6"/>
        <v>1</v>
      </c>
      <c r="AJ23" s="42">
        <f t="shared" si="6"/>
        <v>2</v>
      </c>
      <c r="AK23" s="42">
        <f t="shared" si="6"/>
        <v>0</v>
      </c>
      <c r="AL23" s="42">
        <f t="shared" si="6"/>
        <v>0</v>
      </c>
      <c r="AM23" s="42">
        <f t="shared" si="6"/>
        <v>0</v>
      </c>
      <c r="AN23" s="42">
        <f t="shared" si="6"/>
        <v>1</v>
      </c>
      <c r="AO23" s="42">
        <f t="shared" si="6"/>
        <v>1</v>
      </c>
      <c r="AP23" s="42">
        <f t="shared" si="6"/>
        <v>0</v>
      </c>
      <c r="AQ23" s="42">
        <f t="shared" si="6"/>
        <v>1</v>
      </c>
      <c r="AR23" s="42">
        <f t="shared" si="6"/>
        <v>1</v>
      </c>
      <c r="AS23" s="42">
        <f t="shared" si="6"/>
        <v>0</v>
      </c>
      <c r="AT23" s="42">
        <f t="shared" si="6"/>
        <v>0</v>
      </c>
      <c r="AU23" s="42">
        <f t="shared" si="6"/>
        <v>2</v>
      </c>
      <c r="AV23" s="42">
        <f t="shared" si="6"/>
        <v>1</v>
      </c>
      <c r="AW23" s="42">
        <f t="shared" si="6"/>
        <v>6</v>
      </c>
      <c r="AX23" s="42">
        <f t="shared" si="6"/>
        <v>5</v>
      </c>
      <c r="AY23" s="42">
        <f t="shared" si="6"/>
        <v>3</v>
      </c>
      <c r="AZ23" s="42">
        <f t="shared" si="6"/>
        <v>0</v>
      </c>
      <c r="BA23" s="42">
        <f t="shared" si="6"/>
        <v>0</v>
      </c>
      <c r="BB23" s="42">
        <f t="shared" si="6"/>
        <v>2</v>
      </c>
      <c r="BC23" s="42">
        <f t="shared" si="6"/>
        <v>3</v>
      </c>
      <c r="BD23" s="42">
        <f t="shared" si="6"/>
        <v>2</v>
      </c>
      <c r="BE23" s="42">
        <f t="shared" si="6"/>
        <v>0</v>
      </c>
      <c r="BF23" s="42">
        <f t="shared" si="6"/>
        <v>0</v>
      </c>
      <c r="BG23" s="42">
        <f t="shared" si="6"/>
        <v>0</v>
      </c>
      <c r="BH23" s="42">
        <f t="shared" si="6"/>
        <v>0</v>
      </c>
      <c r="BI23" s="42">
        <f t="shared" si="6"/>
        <v>0</v>
      </c>
      <c r="BJ23" s="42">
        <f t="shared" si="6"/>
        <v>2</v>
      </c>
      <c r="BK23" s="42">
        <f t="shared" si="6"/>
        <v>5</v>
      </c>
      <c r="BL23" s="42">
        <f t="shared" si="6"/>
        <v>3</v>
      </c>
      <c r="BM23" s="42">
        <f t="shared" si="6"/>
        <v>0</v>
      </c>
      <c r="BN23" s="42">
        <f t="shared" si="6"/>
        <v>0</v>
      </c>
      <c r="BO23" s="42">
        <f t="shared" si="6"/>
        <v>0</v>
      </c>
      <c r="BP23" s="42">
        <f t="shared" si="6"/>
        <v>2</v>
      </c>
      <c r="BQ23" s="42">
        <f t="shared" si="6"/>
        <v>8</v>
      </c>
      <c r="BR23" s="42">
        <f t="shared" si="6"/>
        <v>1</v>
      </c>
      <c r="BS23" s="42">
        <f t="shared" si="6"/>
        <v>2</v>
      </c>
      <c r="BT23" s="42">
        <f t="shared" si="6"/>
        <v>4</v>
      </c>
      <c r="BU23" s="42">
        <f t="shared" si="6"/>
        <v>0</v>
      </c>
      <c r="BV23" s="42">
        <f t="shared" si="6"/>
        <v>0</v>
      </c>
      <c r="BW23" s="42">
        <f t="shared" si="6"/>
        <v>2</v>
      </c>
      <c r="BX23" s="42">
        <f t="shared" si="6"/>
        <v>0</v>
      </c>
      <c r="BY23" s="42">
        <f t="shared" si="6"/>
        <v>3</v>
      </c>
      <c r="BZ23" s="42">
        <f t="shared" si="6"/>
        <v>0</v>
      </c>
      <c r="CA23" s="42">
        <f t="shared" si="6"/>
        <v>0</v>
      </c>
      <c r="CB23" s="42">
        <f t="shared" si="6"/>
        <v>0</v>
      </c>
      <c r="CC23" s="42">
        <f t="shared" si="6"/>
        <v>0</v>
      </c>
      <c r="CD23" s="42">
        <f t="shared" si="6"/>
        <v>0</v>
      </c>
      <c r="CE23" s="42">
        <f t="shared" si="6"/>
        <v>0</v>
      </c>
      <c r="CF23" s="42">
        <f t="shared" si="6"/>
        <v>0</v>
      </c>
      <c r="CG23" s="42">
        <f t="shared" si="6"/>
        <v>0</v>
      </c>
      <c r="CH23" s="42">
        <f t="shared" si="6"/>
        <v>0</v>
      </c>
      <c r="CI23" s="42">
        <f t="shared" si="6"/>
        <v>0</v>
      </c>
      <c r="CJ23" s="42">
        <f t="shared" si="6"/>
        <v>0</v>
      </c>
      <c r="CK23" s="42">
        <f t="shared" ref="CK23:DE23" si="7">CK19+CK21</f>
        <v>0</v>
      </c>
      <c r="CL23" s="42">
        <f t="shared" si="7"/>
        <v>0</v>
      </c>
      <c r="CM23" s="42">
        <f t="shared" si="7"/>
        <v>0</v>
      </c>
      <c r="CN23" s="42">
        <f t="shared" si="7"/>
        <v>0</v>
      </c>
      <c r="CO23" s="42">
        <f t="shared" si="7"/>
        <v>0</v>
      </c>
      <c r="CP23" s="42">
        <f t="shared" si="7"/>
        <v>0</v>
      </c>
      <c r="CQ23" s="42">
        <f t="shared" si="7"/>
        <v>0</v>
      </c>
      <c r="CR23" s="42">
        <f t="shared" si="7"/>
        <v>0</v>
      </c>
      <c r="CS23" s="42">
        <f t="shared" si="7"/>
        <v>0</v>
      </c>
      <c r="CT23" s="42">
        <f t="shared" si="7"/>
        <v>8</v>
      </c>
      <c r="CU23" s="42">
        <f t="shared" si="7"/>
        <v>6</v>
      </c>
      <c r="CV23" s="42">
        <f t="shared" si="7"/>
        <v>3</v>
      </c>
      <c r="CW23" s="42">
        <f t="shared" si="7"/>
        <v>0</v>
      </c>
      <c r="CX23" s="42">
        <f t="shared" si="7"/>
        <v>0</v>
      </c>
      <c r="CY23" s="42">
        <f t="shared" si="7"/>
        <v>0</v>
      </c>
      <c r="CZ23" s="42">
        <f t="shared" si="7"/>
        <v>3</v>
      </c>
      <c r="DA23" s="42">
        <f t="shared" si="7"/>
        <v>0</v>
      </c>
      <c r="DB23" s="42">
        <f t="shared" si="7"/>
        <v>4</v>
      </c>
      <c r="DC23" s="42">
        <f t="shared" si="7"/>
        <v>7</v>
      </c>
      <c r="DD23" s="42">
        <f t="shared" si="7"/>
        <v>0</v>
      </c>
      <c r="DE23" s="42">
        <f t="shared" si="7"/>
        <v>0</v>
      </c>
      <c r="DF23" s="42">
        <f t="shared" ref="DF23:DL23" si="8">DF19+DF21</f>
        <v>5</v>
      </c>
      <c r="DG23" s="42">
        <f t="shared" si="8"/>
        <v>9</v>
      </c>
      <c r="DH23" s="42">
        <f t="shared" si="8"/>
        <v>0</v>
      </c>
      <c r="DI23" s="42">
        <f t="shared" si="8"/>
        <v>0</v>
      </c>
      <c r="DJ23" s="42">
        <f t="shared" si="8"/>
        <v>0</v>
      </c>
      <c r="DK23" s="42">
        <f t="shared" si="8"/>
        <v>0</v>
      </c>
      <c r="DL23" s="42">
        <f t="shared" si="8"/>
        <v>0</v>
      </c>
      <c r="DM23" s="42">
        <f t="shared" ref="DM23:DZ23" si="9">DM19+DM21</f>
        <v>0</v>
      </c>
      <c r="DN23" s="42">
        <f>DN19+DN21</f>
        <v>0</v>
      </c>
      <c r="DO23" s="42">
        <f t="shared" si="9"/>
        <v>0</v>
      </c>
      <c r="DP23" s="42">
        <f t="shared" si="9"/>
        <v>0</v>
      </c>
      <c r="DQ23" s="42">
        <f>DQ19+DQ21</f>
        <v>0</v>
      </c>
      <c r="DR23" s="42">
        <f t="shared" si="9"/>
        <v>0</v>
      </c>
      <c r="DS23" s="42">
        <f t="shared" si="9"/>
        <v>0</v>
      </c>
      <c r="DT23" s="42">
        <f t="shared" si="9"/>
        <v>1</v>
      </c>
      <c r="DU23" s="42">
        <f t="shared" si="9"/>
        <v>1</v>
      </c>
      <c r="DV23" s="42">
        <f t="shared" si="9"/>
        <v>0</v>
      </c>
      <c r="DW23" s="42">
        <f t="shared" si="9"/>
        <v>0</v>
      </c>
      <c r="DX23" s="42">
        <f t="shared" si="9"/>
        <v>0</v>
      </c>
      <c r="DY23" s="42">
        <f t="shared" si="9"/>
        <v>0</v>
      </c>
      <c r="DZ23" s="42">
        <f t="shared" si="9"/>
        <v>0</v>
      </c>
      <c r="EA23" s="42">
        <f t="shared" ref="EA23:EU23" si="10">EA19+EA21</f>
        <v>0</v>
      </c>
      <c r="EB23" s="42">
        <f t="shared" si="10"/>
        <v>0</v>
      </c>
      <c r="EC23" s="42">
        <f t="shared" si="10"/>
        <v>0</v>
      </c>
      <c r="ED23" s="42">
        <f t="shared" si="10"/>
        <v>0</v>
      </c>
      <c r="EE23" s="42">
        <f t="shared" si="10"/>
        <v>0</v>
      </c>
      <c r="EF23" s="42">
        <f t="shared" si="10"/>
        <v>0</v>
      </c>
      <c r="EG23" s="42">
        <f t="shared" si="10"/>
        <v>0</v>
      </c>
      <c r="EH23" s="42">
        <f t="shared" si="10"/>
        <v>0</v>
      </c>
      <c r="EI23" s="42">
        <f t="shared" si="10"/>
        <v>0</v>
      </c>
      <c r="EJ23" s="42">
        <f t="shared" si="10"/>
        <v>0</v>
      </c>
      <c r="EK23" s="42">
        <f t="shared" si="10"/>
        <v>0</v>
      </c>
      <c r="EL23" s="42">
        <f t="shared" si="10"/>
        <v>0</v>
      </c>
      <c r="EM23" s="42">
        <f t="shared" si="10"/>
        <v>0</v>
      </c>
      <c r="EN23" s="42">
        <f t="shared" si="10"/>
        <v>0</v>
      </c>
      <c r="EO23" s="42">
        <f t="shared" si="10"/>
        <v>2</v>
      </c>
      <c r="EP23" s="42">
        <f t="shared" si="10"/>
        <v>0</v>
      </c>
      <c r="EQ23" s="42">
        <f t="shared" si="10"/>
        <v>0</v>
      </c>
      <c r="ER23" s="42">
        <f t="shared" si="10"/>
        <v>0</v>
      </c>
      <c r="ES23" s="42">
        <f t="shared" si="10"/>
        <v>0</v>
      </c>
      <c r="ET23" s="42">
        <f t="shared" si="10"/>
        <v>0</v>
      </c>
      <c r="EU23" s="42">
        <f t="shared" si="10"/>
        <v>0</v>
      </c>
      <c r="EV23" s="42">
        <f t="shared" ref="EV23:GK23" si="11">EV19+EV21</f>
        <v>0</v>
      </c>
      <c r="EW23" s="42">
        <f t="shared" si="11"/>
        <v>0</v>
      </c>
      <c r="EX23" s="42">
        <f t="shared" si="11"/>
        <v>0</v>
      </c>
      <c r="EY23" s="42">
        <f t="shared" si="11"/>
        <v>0</v>
      </c>
      <c r="EZ23" s="42">
        <f t="shared" si="11"/>
        <v>0</v>
      </c>
      <c r="FA23" s="42">
        <f t="shared" si="11"/>
        <v>0</v>
      </c>
      <c r="FB23" s="42">
        <f t="shared" si="11"/>
        <v>0</v>
      </c>
      <c r="FC23" s="42">
        <f t="shared" si="11"/>
        <v>0</v>
      </c>
      <c r="FD23" s="42">
        <f t="shared" si="11"/>
        <v>0</v>
      </c>
      <c r="FE23" s="42">
        <f t="shared" si="11"/>
        <v>5</v>
      </c>
      <c r="FF23" s="42">
        <f t="shared" si="11"/>
        <v>4</v>
      </c>
      <c r="FG23" s="42">
        <f t="shared" si="11"/>
        <v>0</v>
      </c>
      <c r="FH23" s="42">
        <f t="shared" si="11"/>
        <v>0</v>
      </c>
      <c r="FI23" s="42">
        <f t="shared" si="11"/>
        <v>0</v>
      </c>
      <c r="FJ23" s="42">
        <f t="shared" si="11"/>
        <v>0</v>
      </c>
      <c r="FK23" s="42">
        <f t="shared" si="11"/>
        <v>0</v>
      </c>
      <c r="FL23" s="42">
        <f t="shared" si="11"/>
        <v>0</v>
      </c>
      <c r="FM23" s="42">
        <f t="shared" si="11"/>
        <v>0</v>
      </c>
      <c r="FN23" s="42">
        <f t="shared" si="11"/>
        <v>4</v>
      </c>
      <c r="FO23" s="42">
        <f t="shared" si="11"/>
        <v>0</v>
      </c>
      <c r="FP23" s="42">
        <f t="shared" si="11"/>
        <v>0</v>
      </c>
      <c r="FQ23" s="42">
        <f t="shared" si="11"/>
        <v>4</v>
      </c>
      <c r="FR23" s="42">
        <f t="shared" si="11"/>
        <v>4</v>
      </c>
      <c r="FS23" s="42">
        <f t="shared" si="11"/>
        <v>1</v>
      </c>
      <c r="FT23" s="42">
        <f t="shared" si="11"/>
        <v>2</v>
      </c>
      <c r="FU23" s="42">
        <f t="shared" si="11"/>
        <v>3</v>
      </c>
      <c r="FV23" s="42">
        <f t="shared" si="11"/>
        <v>0</v>
      </c>
      <c r="FW23" s="42">
        <f t="shared" si="11"/>
        <v>0</v>
      </c>
      <c r="FX23" s="42">
        <f t="shared" si="11"/>
        <v>0</v>
      </c>
      <c r="FY23" s="42">
        <f t="shared" si="11"/>
        <v>0</v>
      </c>
      <c r="FZ23" s="42">
        <f t="shared" si="11"/>
        <v>0</v>
      </c>
      <c r="GA23" s="42">
        <f t="shared" si="11"/>
        <v>0</v>
      </c>
      <c r="GB23" s="42">
        <f t="shared" si="11"/>
        <v>0</v>
      </c>
      <c r="GC23" s="42">
        <f t="shared" si="11"/>
        <v>0</v>
      </c>
      <c r="GD23" s="42">
        <f t="shared" si="11"/>
        <v>0</v>
      </c>
      <c r="GE23" s="42">
        <f t="shared" si="11"/>
        <v>0</v>
      </c>
      <c r="GF23" s="42">
        <f t="shared" si="11"/>
        <v>2</v>
      </c>
      <c r="GG23" s="42">
        <f t="shared" si="11"/>
        <v>2</v>
      </c>
      <c r="GH23" s="42">
        <f t="shared" si="11"/>
        <v>12</v>
      </c>
      <c r="GI23" s="42">
        <f t="shared" si="11"/>
        <v>8</v>
      </c>
      <c r="GJ23" s="42">
        <f t="shared" si="11"/>
        <v>0</v>
      </c>
      <c r="GK23" s="42">
        <f t="shared" si="11"/>
        <v>0</v>
      </c>
      <c r="GL23" s="42">
        <f t="shared" ref="GL23:HM23" si="12">GL19+GL21</f>
        <v>0</v>
      </c>
      <c r="GM23" s="42">
        <f t="shared" si="12"/>
        <v>3</v>
      </c>
      <c r="GN23" s="42">
        <f t="shared" si="12"/>
        <v>2</v>
      </c>
      <c r="GO23" s="42">
        <f t="shared" si="12"/>
        <v>5</v>
      </c>
      <c r="GP23" s="42">
        <f t="shared" si="12"/>
        <v>4</v>
      </c>
      <c r="GQ23" s="42">
        <f t="shared" si="12"/>
        <v>0</v>
      </c>
      <c r="GR23" s="42">
        <f t="shared" si="12"/>
        <v>0</v>
      </c>
      <c r="GS23" s="42">
        <f t="shared" si="12"/>
        <v>1</v>
      </c>
      <c r="GT23" s="42">
        <f t="shared" si="12"/>
        <v>4</v>
      </c>
      <c r="GU23" s="42">
        <f t="shared" si="12"/>
        <v>9</v>
      </c>
      <c r="GV23" s="42">
        <f t="shared" si="12"/>
        <v>13</v>
      </c>
      <c r="GW23" s="42">
        <f t="shared" si="12"/>
        <v>0</v>
      </c>
      <c r="GX23" s="42">
        <f t="shared" si="12"/>
        <v>0</v>
      </c>
      <c r="GY23" s="42">
        <f t="shared" si="12"/>
        <v>0</v>
      </c>
      <c r="GZ23" s="42">
        <f>GZ19+GZ21</f>
        <v>9</v>
      </c>
      <c r="HA23" s="42">
        <f>HA19+HA21</f>
        <v>12</v>
      </c>
      <c r="HB23" s="42">
        <f>HB19+HB21</f>
        <v>17</v>
      </c>
      <c r="HC23" s="42">
        <f t="shared" si="12"/>
        <v>11</v>
      </c>
      <c r="HD23" s="42">
        <f t="shared" si="12"/>
        <v>7</v>
      </c>
      <c r="HE23" s="42">
        <f t="shared" si="12"/>
        <v>0</v>
      </c>
      <c r="HF23" s="42">
        <f t="shared" si="12"/>
        <v>0</v>
      </c>
      <c r="HG23" s="42">
        <f t="shared" si="12"/>
        <v>0</v>
      </c>
      <c r="HH23" s="42">
        <f t="shared" si="12"/>
        <v>0</v>
      </c>
      <c r="HI23" s="42">
        <f t="shared" si="12"/>
        <v>0</v>
      </c>
      <c r="HJ23" s="42">
        <f t="shared" si="12"/>
        <v>0</v>
      </c>
      <c r="HK23" s="42">
        <f t="shared" si="12"/>
        <v>0</v>
      </c>
      <c r="HL23" s="42">
        <f t="shared" si="12"/>
        <v>0</v>
      </c>
      <c r="HM23" s="42">
        <f t="shared" si="12"/>
        <v>0</v>
      </c>
    </row>
    <row r="24" spans="2:221" ht="15.75" thickBot="1" x14ac:dyDescent="0.3">
      <c r="B24" s="352"/>
      <c r="C24" s="340"/>
      <c r="D24" s="5" t="s">
        <v>5</v>
      </c>
      <c r="E24" s="43">
        <f t="shared" ref="E24:K24" si="13">E20+E22</f>
        <v>0</v>
      </c>
      <c r="F24" s="43">
        <f t="shared" si="13"/>
        <v>0</v>
      </c>
      <c r="G24" s="43">
        <f t="shared" si="13"/>
        <v>0</v>
      </c>
      <c r="H24" s="43">
        <f t="shared" si="13"/>
        <v>0</v>
      </c>
      <c r="I24" s="43">
        <f t="shared" si="13"/>
        <v>0</v>
      </c>
      <c r="J24" s="43">
        <f t="shared" si="13"/>
        <v>0</v>
      </c>
      <c r="K24" s="43">
        <f t="shared" si="13"/>
        <v>0</v>
      </c>
      <c r="L24" s="43">
        <f t="shared" ref="L24:R24" si="14">L20+L22</f>
        <v>0</v>
      </c>
      <c r="M24" s="43">
        <f t="shared" si="14"/>
        <v>0</v>
      </c>
      <c r="N24" s="43">
        <f t="shared" si="14"/>
        <v>2</v>
      </c>
      <c r="O24" s="43">
        <f t="shared" si="14"/>
        <v>2</v>
      </c>
      <c r="P24" s="43">
        <f t="shared" si="14"/>
        <v>0</v>
      </c>
      <c r="Q24" s="43">
        <f t="shared" si="14"/>
        <v>0</v>
      </c>
      <c r="R24" s="43">
        <f t="shared" si="14"/>
        <v>0</v>
      </c>
      <c r="S24" s="43">
        <f t="shared" ref="S24:Y24" si="15">S20+S22</f>
        <v>3</v>
      </c>
      <c r="T24" s="43">
        <f t="shared" si="15"/>
        <v>4</v>
      </c>
      <c r="U24" s="43">
        <f t="shared" si="15"/>
        <v>4</v>
      </c>
      <c r="V24" s="43">
        <f t="shared" si="15"/>
        <v>1</v>
      </c>
      <c r="W24" s="43">
        <f t="shared" si="15"/>
        <v>1</v>
      </c>
      <c r="X24" s="43">
        <f t="shared" si="15"/>
        <v>0</v>
      </c>
      <c r="Y24" s="43">
        <f t="shared" si="15"/>
        <v>0</v>
      </c>
      <c r="Z24" s="43">
        <f t="shared" ref="Z24:AF24" si="16">Z20+Z22</f>
        <v>2</v>
      </c>
      <c r="AA24" s="43">
        <f t="shared" si="16"/>
        <v>4</v>
      </c>
      <c r="AB24" s="43">
        <f t="shared" si="16"/>
        <v>2</v>
      </c>
      <c r="AC24" s="43">
        <f t="shared" si="16"/>
        <v>2</v>
      </c>
      <c r="AD24" s="43">
        <f t="shared" si="16"/>
        <v>4</v>
      </c>
      <c r="AE24" s="43">
        <f t="shared" si="16"/>
        <v>0</v>
      </c>
      <c r="AF24" s="43">
        <f t="shared" si="16"/>
        <v>0</v>
      </c>
      <c r="AG24" s="43">
        <f t="shared" ref="AG24:CJ24" si="17">AG20+AG22</f>
        <v>0</v>
      </c>
      <c r="AH24" s="43">
        <f t="shared" si="17"/>
        <v>3</v>
      </c>
      <c r="AI24" s="43">
        <f t="shared" si="17"/>
        <v>0</v>
      </c>
      <c r="AJ24" s="43">
        <f t="shared" si="17"/>
        <v>2</v>
      </c>
      <c r="AK24" s="43">
        <f t="shared" si="17"/>
        <v>0</v>
      </c>
      <c r="AL24" s="43">
        <f t="shared" si="17"/>
        <v>0</v>
      </c>
      <c r="AM24" s="43">
        <f t="shared" si="17"/>
        <v>0</v>
      </c>
      <c r="AN24" s="43">
        <f t="shared" si="17"/>
        <v>2</v>
      </c>
      <c r="AO24" s="43">
        <f t="shared" si="17"/>
        <v>1</v>
      </c>
      <c r="AP24" s="43">
        <f t="shared" si="17"/>
        <v>0</v>
      </c>
      <c r="AQ24" s="43">
        <f t="shared" si="17"/>
        <v>1</v>
      </c>
      <c r="AR24" s="43">
        <f t="shared" si="17"/>
        <v>0</v>
      </c>
      <c r="AS24" s="43">
        <f t="shared" si="17"/>
        <v>0</v>
      </c>
      <c r="AT24" s="43">
        <f t="shared" si="17"/>
        <v>0</v>
      </c>
      <c r="AU24" s="43">
        <f t="shared" si="17"/>
        <v>1</v>
      </c>
      <c r="AV24" s="43">
        <f t="shared" si="17"/>
        <v>0</v>
      </c>
      <c r="AW24" s="43">
        <f t="shared" si="17"/>
        <v>5</v>
      </c>
      <c r="AX24" s="43">
        <f t="shared" si="17"/>
        <v>4</v>
      </c>
      <c r="AY24" s="43">
        <f t="shared" si="17"/>
        <v>0</v>
      </c>
      <c r="AZ24" s="43">
        <f t="shared" si="17"/>
        <v>0</v>
      </c>
      <c r="BA24" s="43">
        <f t="shared" si="17"/>
        <v>0</v>
      </c>
      <c r="BB24" s="43">
        <f t="shared" si="17"/>
        <v>2</v>
      </c>
      <c r="BC24" s="43">
        <f t="shared" si="17"/>
        <v>1</v>
      </c>
      <c r="BD24" s="43">
        <f t="shared" si="17"/>
        <v>3</v>
      </c>
      <c r="BE24" s="43">
        <f t="shared" si="17"/>
        <v>0</v>
      </c>
      <c r="BF24" s="43">
        <f t="shared" si="17"/>
        <v>0</v>
      </c>
      <c r="BG24" s="43">
        <f t="shared" si="17"/>
        <v>0</v>
      </c>
      <c r="BH24" s="43">
        <f t="shared" si="17"/>
        <v>0</v>
      </c>
      <c r="BI24" s="43">
        <f t="shared" si="17"/>
        <v>0</v>
      </c>
      <c r="BJ24" s="43">
        <f t="shared" si="17"/>
        <v>2</v>
      </c>
      <c r="BK24" s="43">
        <f t="shared" si="17"/>
        <v>4</v>
      </c>
      <c r="BL24" s="43">
        <f t="shared" si="17"/>
        <v>3</v>
      </c>
      <c r="BM24" s="43">
        <f t="shared" si="17"/>
        <v>0</v>
      </c>
      <c r="BN24" s="43">
        <f t="shared" si="17"/>
        <v>0</v>
      </c>
      <c r="BO24" s="43">
        <f t="shared" si="17"/>
        <v>0</v>
      </c>
      <c r="BP24" s="43">
        <f t="shared" si="17"/>
        <v>2</v>
      </c>
      <c r="BQ24" s="43">
        <f t="shared" si="17"/>
        <v>5</v>
      </c>
      <c r="BR24" s="43">
        <f t="shared" si="17"/>
        <v>1</v>
      </c>
      <c r="BS24" s="43">
        <f t="shared" si="17"/>
        <v>2</v>
      </c>
      <c r="BT24" s="43">
        <f t="shared" si="17"/>
        <v>3</v>
      </c>
      <c r="BU24" s="43">
        <f t="shared" si="17"/>
        <v>0</v>
      </c>
      <c r="BV24" s="43">
        <f t="shared" si="17"/>
        <v>0</v>
      </c>
      <c r="BW24" s="43">
        <f t="shared" si="17"/>
        <v>2</v>
      </c>
      <c r="BX24" s="43">
        <f t="shared" si="17"/>
        <v>0</v>
      </c>
      <c r="BY24" s="43">
        <f t="shared" si="17"/>
        <v>2</v>
      </c>
      <c r="BZ24" s="43">
        <f t="shared" si="17"/>
        <v>0</v>
      </c>
      <c r="CA24" s="43">
        <f t="shared" si="17"/>
        <v>0</v>
      </c>
      <c r="CB24" s="43">
        <f t="shared" si="17"/>
        <v>0</v>
      </c>
      <c r="CC24" s="43">
        <f t="shared" si="17"/>
        <v>0</v>
      </c>
      <c r="CD24" s="43">
        <f t="shared" si="17"/>
        <v>0</v>
      </c>
      <c r="CE24" s="43">
        <f t="shared" si="17"/>
        <v>0</v>
      </c>
      <c r="CF24" s="43">
        <f t="shared" si="17"/>
        <v>0</v>
      </c>
      <c r="CG24" s="43">
        <f t="shared" si="17"/>
        <v>0</v>
      </c>
      <c r="CH24" s="43">
        <f t="shared" si="17"/>
        <v>0</v>
      </c>
      <c r="CI24" s="43">
        <f t="shared" si="17"/>
        <v>0</v>
      </c>
      <c r="CJ24" s="43">
        <f t="shared" si="17"/>
        <v>0</v>
      </c>
      <c r="CK24" s="43">
        <f t="shared" ref="CK24:DE24" si="18">CK20+CK22</f>
        <v>0</v>
      </c>
      <c r="CL24" s="43">
        <f t="shared" si="18"/>
        <v>0</v>
      </c>
      <c r="CM24" s="43">
        <f t="shared" si="18"/>
        <v>0</v>
      </c>
      <c r="CN24" s="43">
        <f t="shared" si="18"/>
        <v>0</v>
      </c>
      <c r="CO24" s="43">
        <f t="shared" si="18"/>
        <v>0</v>
      </c>
      <c r="CP24" s="43">
        <f t="shared" si="18"/>
        <v>0</v>
      </c>
      <c r="CQ24" s="43">
        <f t="shared" si="18"/>
        <v>0</v>
      </c>
      <c r="CR24" s="43">
        <f t="shared" si="18"/>
        <v>0</v>
      </c>
      <c r="CS24" s="43">
        <f t="shared" si="18"/>
        <v>0</v>
      </c>
      <c r="CT24" s="43">
        <f t="shared" si="18"/>
        <v>4</v>
      </c>
      <c r="CU24" s="43">
        <f t="shared" si="18"/>
        <v>0</v>
      </c>
      <c r="CV24" s="43">
        <f t="shared" si="18"/>
        <v>6</v>
      </c>
      <c r="CW24" s="43">
        <f t="shared" si="18"/>
        <v>0</v>
      </c>
      <c r="CX24" s="43">
        <f t="shared" si="18"/>
        <v>0</v>
      </c>
      <c r="CY24" s="43">
        <f t="shared" si="18"/>
        <v>0</v>
      </c>
      <c r="CZ24" s="43">
        <f t="shared" si="18"/>
        <v>1</v>
      </c>
      <c r="DA24" s="43">
        <f t="shared" si="18"/>
        <v>1</v>
      </c>
      <c r="DB24" s="43">
        <f t="shared" si="18"/>
        <v>4</v>
      </c>
      <c r="DC24" s="43">
        <f t="shared" si="18"/>
        <v>2</v>
      </c>
      <c r="DD24" s="43">
        <f t="shared" si="18"/>
        <v>1</v>
      </c>
      <c r="DE24" s="43">
        <f t="shared" si="18"/>
        <v>0</v>
      </c>
      <c r="DF24" s="43">
        <f t="shared" ref="DF24:DL24" si="19">DF20+DF22</f>
        <v>4</v>
      </c>
      <c r="DG24" s="43">
        <f t="shared" si="19"/>
        <v>8</v>
      </c>
      <c r="DH24" s="43">
        <f t="shared" si="19"/>
        <v>0</v>
      </c>
      <c r="DI24" s="43">
        <f t="shared" si="19"/>
        <v>0</v>
      </c>
      <c r="DJ24" s="43">
        <f t="shared" si="19"/>
        <v>0</v>
      </c>
      <c r="DK24" s="43">
        <f t="shared" si="19"/>
        <v>0</v>
      </c>
      <c r="DL24" s="43">
        <f t="shared" si="19"/>
        <v>0</v>
      </c>
      <c r="DM24" s="43">
        <f t="shared" ref="DM24:DZ24" si="20">DM20+DM22</f>
        <v>0</v>
      </c>
      <c r="DN24" s="43">
        <f t="shared" si="20"/>
        <v>0</v>
      </c>
      <c r="DO24" s="43">
        <f t="shared" si="20"/>
        <v>0</v>
      </c>
      <c r="DP24" s="43">
        <f t="shared" si="20"/>
        <v>0</v>
      </c>
      <c r="DQ24" s="43">
        <f t="shared" si="20"/>
        <v>0</v>
      </c>
      <c r="DR24" s="43">
        <f t="shared" si="20"/>
        <v>0</v>
      </c>
      <c r="DS24" s="43">
        <f t="shared" si="20"/>
        <v>0</v>
      </c>
      <c r="DT24" s="43">
        <f t="shared" si="20"/>
        <v>1</v>
      </c>
      <c r="DU24" s="43">
        <f t="shared" si="20"/>
        <v>0</v>
      </c>
      <c r="DV24" s="43">
        <f t="shared" si="20"/>
        <v>0</v>
      </c>
      <c r="DW24" s="43">
        <f t="shared" si="20"/>
        <v>0</v>
      </c>
      <c r="DX24" s="43">
        <f t="shared" si="20"/>
        <v>0</v>
      </c>
      <c r="DY24" s="43">
        <f t="shared" si="20"/>
        <v>0</v>
      </c>
      <c r="DZ24" s="43">
        <f t="shared" si="20"/>
        <v>0</v>
      </c>
      <c r="EA24" s="43">
        <f t="shared" ref="EA24:EU24" si="21">EA20+EA22</f>
        <v>0</v>
      </c>
      <c r="EB24" s="43">
        <f t="shared" si="21"/>
        <v>0</v>
      </c>
      <c r="EC24" s="43">
        <f t="shared" si="21"/>
        <v>0</v>
      </c>
      <c r="ED24" s="43">
        <f t="shared" si="21"/>
        <v>0</v>
      </c>
      <c r="EE24" s="43">
        <f t="shared" si="21"/>
        <v>0</v>
      </c>
      <c r="EF24" s="43">
        <f t="shared" si="21"/>
        <v>0</v>
      </c>
      <c r="EG24" s="43">
        <f t="shared" si="21"/>
        <v>0</v>
      </c>
      <c r="EH24" s="43">
        <f t="shared" si="21"/>
        <v>0</v>
      </c>
      <c r="EI24" s="43">
        <f t="shared" si="21"/>
        <v>0</v>
      </c>
      <c r="EJ24" s="43">
        <f t="shared" si="21"/>
        <v>0</v>
      </c>
      <c r="EK24" s="43">
        <f t="shared" si="21"/>
        <v>0</v>
      </c>
      <c r="EL24" s="43">
        <f t="shared" si="21"/>
        <v>0</v>
      </c>
      <c r="EM24" s="43">
        <f t="shared" si="21"/>
        <v>0</v>
      </c>
      <c r="EN24" s="43">
        <f t="shared" si="21"/>
        <v>0</v>
      </c>
      <c r="EO24" s="43">
        <f t="shared" si="21"/>
        <v>2</v>
      </c>
      <c r="EP24" s="43">
        <f t="shared" si="21"/>
        <v>0</v>
      </c>
      <c r="EQ24" s="43">
        <f t="shared" si="21"/>
        <v>0</v>
      </c>
      <c r="ER24" s="43">
        <f t="shared" si="21"/>
        <v>0</v>
      </c>
      <c r="ES24" s="43">
        <f t="shared" si="21"/>
        <v>0</v>
      </c>
      <c r="ET24" s="43">
        <f t="shared" si="21"/>
        <v>0</v>
      </c>
      <c r="EU24" s="43">
        <f t="shared" si="21"/>
        <v>0</v>
      </c>
      <c r="EV24" s="43">
        <f t="shared" ref="EV24:GK24" si="22">EV20+EV22</f>
        <v>0</v>
      </c>
      <c r="EW24" s="43">
        <f t="shared" si="22"/>
        <v>0</v>
      </c>
      <c r="EX24" s="43">
        <f t="shared" si="22"/>
        <v>0</v>
      </c>
      <c r="EY24" s="43">
        <f t="shared" si="22"/>
        <v>0</v>
      </c>
      <c r="EZ24" s="43">
        <f t="shared" si="22"/>
        <v>0</v>
      </c>
      <c r="FA24" s="43">
        <f t="shared" si="22"/>
        <v>0</v>
      </c>
      <c r="FB24" s="43">
        <f t="shared" si="22"/>
        <v>0</v>
      </c>
      <c r="FC24" s="43">
        <f t="shared" si="22"/>
        <v>0</v>
      </c>
      <c r="FD24" s="43">
        <f t="shared" si="22"/>
        <v>0</v>
      </c>
      <c r="FE24" s="43">
        <f t="shared" si="22"/>
        <v>0</v>
      </c>
      <c r="FF24" s="43">
        <f t="shared" si="22"/>
        <v>2</v>
      </c>
      <c r="FG24" s="43">
        <f t="shared" si="22"/>
        <v>2</v>
      </c>
      <c r="FH24" s="43">
        <f t="shared" si="22"/>
        <v>0</v>
      </c>
      <c r="FI24" s="43">
        <f t="shared" si="22"/>
        <v>0</v>
      </c>
      <c r="FJ24" s="43">
        <f t="shared" si="22"/>
        <v>0</v>
      </c>
      <c r="FK24" s="43">
        <f t="shared" si="22"/>
        <v>0</v>
      </c>
      <c r="FL24" s="43">
        <f t="shared" si="22"/>
        <v>0</v>
      </c>
      <c r="FM24" s="43">
        <f t="shared" si="22"/>
        <v>0</v>
      </c>
      <c r="FN24" s="43">
        <f t="shared" si="22"/>
        <v>0</v>
      </c>
      <c r="FO24" s="43">
        <f t="shared" si="22"/>
        <v>0</v>
      </c>
      <c r="FP24" s="43">
        <f t="shared" si="22"/>
        <v>0</v>
      </c>
      <c r="FQ24" s="43">
        <f t="shared" si="22"/>
        <v>4</v>
      </c>
      <c r="FR24" s="43">
        <f t="shared" si="22"/>
        <v>4</v>
      </c>
      <c r="FS24" s="43">
        <f t="shared" si="22"/>
        <v>1</v>
      </c>
      <c r="FT24" s="43">
        <f t="shared" si="22"/>
        <v>2</v>
      </c>
      <c r="FU24" s="43">
        <f t="shared" si="22"/>
        <v>3</v>
      </c>
      <c r="FV24" s="43">
        <f t="shared" si="22"/>
        <v>0</v>
      </c>
      <c r="FW24" s="43">
        <f t="shared" si="22"/>
        <v>0</v>
      </c>
      <c r="FX24" s="43">
        <f t="shared" si="22"/>
        <v>0</v>
      </c>
      <c r="FY24" s="43">
        <f t="shared" si="22"/>
        <v>0</v>
      </c>
      <c r="FZ24" s="43">
        <f t="shared" si="22"/>
        <v>0</v>
      </c>
      <c r="GA24" s="43">
        <f t="shared" si="22"/>
        <v>0</v>
      </c>
      <c r="GB24" s="43">
        <f t="shared" si="22"/>
        <v>0</v>
      </c>
      <c r="GC24" s="43">
        <f t="shared" si="22"/>
        <v>0</v>
      </c>
      <c r="GD24" s="43">
        <f t="shared" si="22"/>
        <v>0</v>
      </c>
      <c r="GE24" s="43">
        <f t="shared" si="22"/>
        <v>0</v>
      </c>
      <c r="GF24" s="43">
        <f t="shared" si="22"/>
        <v>2</v>
      </c>
      <c r="GG24" s="43">
        <f t="shared" si="22"/>
        <v>2</v>
      </c>
      <c r="GH24" s="43">
        <f t="shared" si="22"/>
        <v>5</v>
      </c>
      <c r="GI24" s="43">
        <f t="shared" si="22"/>
        <v>3</v>
      </c>
      <c r="GJ24" s="43">
        <f t="shared" si="22"/>
        <v>0</v>
      </c>
      <c r="GK24" s="43">
        <f t="shared" si="22"/>
        <v>0</v>
      </c>
      <c r="GL24" s="43">
        <f t="shared" ref="GL24:HM24" si="23">GL20+GL22</f>
        <v>0</v>
      </c>
      <c r="GM24" s="43">
        <f t="shared" si="23"/>
        <v>3</v>
      </c>
      <c r="GN24" s="43">
        <f t="shared" si="23"/>
        <v>2</v>
      </c>
      <c r="GO24" s="43">
        <f t="shared" si="23"/>
        <v>5</v>
      </c>
      <c r="GP24" s="43">
        <f t="shared" si="23"/>
        <v>4</v>
      </c>
      <c r="GQ24" s="43">
        <f t="shared" si="23"/>
        <v>0</v>
      </c>
      <c r="GR24" s="43">
        <f t="shared" si="23"/>
        <v>0</v>
      </c>
      <c r="GS24" s="43">
        <f t="shared" si="23"/>
        <v>0</v>
      </c>
      <c r="GT24" s="43">
        <f t="shared" si="23"/>
        <v>4</v>
      </c>
      <c r="GU24" s="43">
        <f t="shared" si="23"/>
        <v>9</v>
      </c>
      <c r="GV24" s="43">
        <f t="shared" si="23"/>
        <v>12</v>
      </c>
      <c r="GW24" s="43">
        <f t="shared" si="23"/>
        <v>0</v>
      </c>
      <c r="GX24" s="43">
        <f t="shared" si="23"/>
        <v>0</v>
      </c>
      <c r="GY24" s="43">
        <f t="shared" si="23"/>
        <v>0</v>
      </c>
      <c r="GZ24" s="43">
        <f>GZ20+GZ22</f>
        <v>9</v>
      </c>
      <c r="HA24" s="43">
        <f>HA20+HA22</f>
        <v>12</v>
      </c>
      <c r="HB24" s="43">
        <f t="shared" si="23"/>
        <v>17</v>
      </c>
      <c r="HC24" s="43">
        <f t="shared" si="23"/>
        <v>11</v>
      </c>
      <c r="HD24" s="43">
        <f t="shared" si="23"/>
        <v>7</v>
      </c>
      <c r="HE24" s="43">
        <f t="shared" si="23"/>
        <v>0</v>
      </c>
      <c r="HF24" s="43">
        <f t="shared" si="23"/>
        <v>0</v>
      </c>
      <c r="HG24" s="43">
        <f t="shared" si="23"/>
        <v>0</v>
      </c>
      <c r="HH24" s="43">
        <f t="shared" si="23"/>
        <v>0</v>
      </c>
      <c r="HI24" s="43">
        <f t="shared" si="23"/>
        <v>0</v>
      </c>
      <c r="HJ24" s="43">
        <f t="shared" si="23"/>
        <v>0</v>
      </c>
      <c r="HK24" s="43">
        <f t="shared" si="23"/>
        <v>0</v>
      </c>
      <c r="HL24" s="43">
        <f t="shared" si="23"/>
        <v>0</v>
      </c>
      <c r="HM24" s="43">
        <f t="shared" si="23"/>
        <v>0</v>
      </c>
    </row>
    <row r="25" spans="2:221" x14ac:dyDescent="0.25">
      <c r="D25" s="12" t="s">
        <v>11</v>
      </c>
      <c r="E25" s="344">
        <f t="shared" ref="E25:E26" si="24">SUM(E23+F23+G23+H23+I23+J23+K23)</f>
        <v>0</v>
      </c>
      <c r="F25" s="345"/>
      <c r="G25" s="345"/>
      <c r="H25" s="345"/>
      <c r="I25" s="345"/>
      <c r="J25" s="345"/>
      <c r="K25" s="346"/>
      <c r="L25" s="344">
        <f t="shared" ref="L25:L26" si="25">SUM(L23+M23+N23+O23+P23+Q23+R23)</f>
        <v>3</v>
      </c>
      <c r="M25" s="345"/>
      <c r="N25" s="345"/>
      <c r="O25" s="345"/>
      <c r="P25" s="345"/>
      <c r="Q25" s="345"/>
      <c r="R25" s="346"/>
      <c r="S25" s="344">
        <f t="shared" ref="S25:S26" si="26">SUM(S23+T23+U23+V23+W23+X23+Y23)</f>
        <v>16</v>
      </c>
      <c r="T25" s="345"/>
      <c r="U25" s="345"/>
      <c r="V25" s="345"/>
      <c r="W25" s="345"/>
      <c r="X25" s="345"/>
      <c r="Y25" s="346"/>
      <c r="Z25" s="344">
        <f t="shared" ref="Z25:Z26" si="27">SUM(Z23+AA23+AB23+AC23+AD23+AE23+AF23)</f>
        <v>11</v>
      </c>
      <c r="AA25" s="345"/>
      <c r="AB25" s="345"/>
      <c r="AC25" s="345"/>
      <c r="AD25" s="345"/>
      <c r="AE25" s="345"/>
      <c r="AF25" s="346"/>
      <c r="AG25" s="344">
        <f t="shared" ref="AG25:AG26" si="28">SUM(AG23+AH23+AI23+AJ23+AK23+AL23+AM23)</f>
        <v>6</v>
      </c>
      <c r="AH25" s="345"/>
      <c r="AI25" s="345"/>
      <c r="AJ25" s="345"/>
      <c r="AK25" s="345"/>
      <c r="AL25" s="345"/>
      <c r="AM25" s="346"/>
      <c r="AN25" s="344">
        <f t="shared" ref="AN25:AN26" si="29">SUM(AN23+AO23+AP23+AQ23+AR23+AS23+AT23)</f>
        <v>4</v>
      </c>
      <c r="AO25" s="345"/>
      <c r="AP25" s="345"/>
      <c r="AQ25" s="345"/>
      <c r="AR25" s="345"/>
      <c r="AS25" s="345"/>
      <c r="AT25" s="346"/>
      <c r="AU25" s="344">
        <f t="shared" ref="AU25:AU26" si="30">SUM(AU23+AV23+AW23+AX23+AY23+AZ23+BA23)</f>
        <v>17</v>
      </c>
      <c r="AV25" s="345"/>
      <c r="AW25" s="345"/>
      <c r="AX25" s="345"/>
      <c r="AY25" s="345"/>
      <c r="AZ25" s="345"/>
      <c r="BA25" s="346"/>
      <c r="BB25" s="344">
        <f t="shared" ref="BB25:BB26" si="31">SUM(BB23+BC23+BD23+BE23+BF23+BG23+BH23)</f>
        <v>7</v>
      </c>
      <c r="BC25" s="345"/>
      <c r="BD25" s="345"/>
      <c r="BE25" s="345"/>
      <c r="BF25" s="345"/>
      <c r="BG25" s="345"/>
      <c r="BH25" s="346"/>
      <c r="BI25" s="344">
        <f t="shared" ref="BI25:BI26" si="32">SUM(BI23+BJ23+BK23+BL23+BM23+BN23+BO23)</f>
        <v>10</v>
      </c>
      <c r="BJ25" s="345"/>
      <c r="BK25" s="345"/>
      <c r="BL25" s="345"/>
      <c r="BM25" s="345"/>
      <c r="BN25" s="345"/>
      <c r="BO25" s="346"/>
      <c r="BP25" s="344">
        <f t="shared" ref="BP25:BP26" si="33">SUM(BP23+BQ23+BR23+BS23+BT23+BU23+BV23)</f>
        <v>17</v>
      </c>
      <c r="BQ25" s="345"/>
      <c r="BR25" s="345"/>
      <c r="BS25" s="345"/>
      <c r="BT25" s="345"/>
      <c r="BU25" s="345"/>
      <c r="BV25" s="346"/>
      <c r="BW25" s="344">
        <f t="shared" ref="BW25:BW26" si="34">SUM(BW23+BX23+BY23+BZ23+CA23+CB23+CC23)</f>
        <v>5</v>
      </c>
      <c r="BX25" s="345"/>
      <c r="BY25" s="345"/>
      <c r="BZ25" s="345"/>
      <c r="CA25" s="345"/>
      <c r="CB25" s="345"/>
      <c r="CC25" s="346"/>
      <c r="CD25" s="344">
        <f t="shared" ref="CD25:CD26" si="35">SUM(CD23+CE23+CF23+CG23+CH23+CI23+CJ23)</f>
        <v>0</v>
      </c>
      <c r="CE25" s="345"/>
      <c r="CF25" s="345"/>
      <c r="CG25" s="345"/>
      <c r="CH25" s="345"/>
      <c r="CI25" s="345"/>
      <c r="CJ25" s="346"/>
      <c r="CK25" s="344">
        <f t="shared" ref="CK25:CK26" si="36">SUM(CK23+CL23+CM23+CN23+CO23+CP23+CQ23)</f>
        <v>0</v>
      </c>
      <c r="CL25" s="345"/>
      <c r="CM25" s="345"/>
      <c r="CN25" s="345"/>
      <c r="CO25" s="345"/>
      <c r="CP25" s="345"/>
      <c r="CQ25" s="346"/>
      <c r="CR25" s="344">
        <f t="shared" ref="CR25:CR26" si="37">SUM(CR23+CS23+CT23+CU23+CV23+CW23+CX23)</f>
        <v>17</v>
      </c>
      <c r="CS25" s="345"/>
      <c r="CT25" s="345"/>
      <c r="CU25" s="345"/>
      <c r="CV25" s="345"/>
      <c r="CW25" s="345"/>
      <c r="CX25" s="346"/>
      <c r="CY25" s="344">
        <f t="shared" ref="CY25:CY26" si="38">SUM(CY23+CZ23+DA23+DB23+DC23+DD23+DE23)</f>
        <v>14</v>
      </c>
      <c r="CZ25" s="345"/>
      <c r="DA25" s="345"/>
      <c r="DB25" s="345"/>
      <c r="DC25" s="345"/>
      <c r="DD25" s="345"/>
      <c r="DE25" s="346"/>
      <c r="DF25" s="344">
        <f t="shared" ref="DF25:DF26" si="39">SUM(DF23+DG23+DH23+DI23+DJ23+DK23+DL23)</f>
        <v>14</v>
      </c>
      <c r="DG25" s="345"/>
      <c r="DH25" s="345"/>
      <c r="DI25" s="345"/>
      <c r="DJ25" s="345"/>
      <c r="DK25" s="345"/>
      <c r="DL25" s="346"/>
      <c r="DM25" s="344">
        <f>SUM(DM23+DN23+DO23+DP23+DQ23+DR23+DS23)</f>
        <v>0</v>
      </c>
      <c r="DN25" s="345"/>
      <c r="DO25" s="345"/>
      <c r="DP25" s="345"/>
      <c r="DQ25" s="345"/>
      <c r="DR25" s="345"/>
      <c r="DS25" s="346"/>
      <c r="DT25" s="344">
        <f t="shared" ref="DT25:DT26" si="40">SUM(DT23+DU23+DV23+DW23+DX23+DY23+DZ23)</f>
        <v>2</v>
      </c>
      <c r="DU25" s="345"/>
      <c r="DV25" s="345"/>
      <c r="DW25" s="345"/>
      <c r="DX25" s="345"/>
      <c r="DY25" s="345"/>
      <c r="DZ25" s="346"/>
      <c r="EA25" s="344">
        <f t="shared" ref="EA25:EA26" si="41">SUM(EA23+EB23+EC23+ED23+EE23+EF23+EG23)</f>
        <v>0</v>
      </c>
      <c r="EB25" s="345"/>
      <c r="EC25" s="345"/>
      <c r="ED25" s="345"/>
      <c r="EE25" s="345"/>
      <c r="EF25" s="345"/>
      <c r="EG25" s="346"/>
      <c r="EH25" s="344">
        <f t="shared" ref="EH25:EH26" si="42">SUM(EH23+EI23+EJ23+EK23+EL23+EM23+EN23)</f>
        <v>0</v>
      </c>
      <c r="EI25" s="345"/>
      <c r="EJ25" s="345"/>
      <c r="EK25" s="345"/>
      <c r="EL25" s="345"/>
      <c r="EM25" s="345"/>
      <c r="EN25" s="346"/>
      <c r="EO25" s="344">
        <f t="shared" ref="EO25:EO26" si="43">SUM(EO23+EP23+EQ23+ER23+ES23+ET23+EU23)</f>
        <v>2</v>
      </c>
      <c r="EP25" s="345"/>
      <c r="EQ25" s="345"/>
      <c r="ER25" s="345"/>
      <c r="ES25" s="345"/>
      <c r="ET25" s="345"/>
      <c r="EU25" s="346"/>
      <c r="EV25" s="344">
        <f t="shared" ref="EV25:EV26" si="44">SUM(EV23+EW23+EX23+EY23+EZ23+FA23+FB23)</f>
        <v>0</v>
      </c>
      <c r="EW25" s="345"/>
      <c r="EX25" s="345"/>
      <c r="EY25" s="345"/>
      <c r="EZ25" s="345"/>
      <c r="FA25" s="345"/>
      <c r="FB25" s="346"/>
      <c r="FC25" s="344">
        <f t="shared" ref="FC25:FC26" si="45">SUM(FC23+FD23+FE23+FF23+FG23+FH23+FI23)</f>
        <v>9</v>
      </c>
      <c r="FD25" s="345"/>
      <c r="FE25" s="345"/>
      <c r="FF25" s="345"/>
      <c r="FG25" s="345"/>
      <c r="FH25" s="345"/>
      <c r="FI25" s="346"/>
      <c r="FJ25" s="344">
        <f t="shared" ref="FJ25:FJ26" si="46">SUM(FJ23+FK23+FL23+FM23+FN23+FO23+FP23)</f>
        <v>4</v>
      </c>
      <c r="FK25" s="345"/>
      <c r="FL25" s="345"/>
      <c r="FM25" s="345"/>
      <c r="FN25" s="345"/>
      <c r="FO25" s="345"/>
      <c r="FP25" s="346"/>
      <c r="FQ25" s="344">
        <f t="shared" ref="FQ25:FQ26" si="47">SUM(FQ23+FR23+FS23+FT23+FU23+FV23+FW23)</f>
        <v>14</v>
      </c>
      <c r="FR25" s="345"/>
      <c r="FS25" s="345"/>
      <c r="FT25" s="345"/>
      <c r="FU25" s="345"/>
      <c r="FV25" s="345"/>
      <c r="FW25" s="346"/>
      <c r="FX25" s="344">
        <f t="shared" ref="FX25:FX26" si="48">SUM(FX23+FY23+FZ23+GA23+GB23+GC23+GD23)</f>
        <v>0</v>
      </c>
      <c r="FY25" s="345"/>
      <c r="FZ25" s="345"/>
      <c r="GA25" s="345"/>
      <c r="GB25" s="345"/>
      <c r="GC25" s="345"/>
      <c r="GD25" s="346"/>
      <c r="GE25" s="344">
        <f t="shared" ref="GE25:GE26" si="49">SUM(GE23+GF23+GG23+GH23+GI23+GJ23+GK23)</f>
        <v>24</v>
      </c>
      <c r="GF25" s="345"/>
      <c r="GG25" s="345"/>
      <c r="GH25" s="345"/>
      <c r="GI25" s="345"/>
      <c r="GJ25" s="345"/>
      <c r="GK25" s="346"/>
      <c r="GL25" s="344">
        <f t="shared" ref="GL25:GL26" si="50">SUM(GL23+GM23+GN23+GO23+GP23+GQ23+GR23)</f>
        <v>14</v>
      </c>
      <c r="GM25" s="345"/>
      <c r="GN25" s="345"/>
      <c r="GO25" s="345"/>
      <c r="GP25" s="345"/>
      <c r="GQ25" s="345"/>
      <c r="GR25" s="346"/>
      <c r="GS25" s="344">
        <f t="shared" ref="GS25:GS26" si="51">SUM(GS23+GT23+GU23+GV23+GW23+GX23+GY23)</f>
        <v>27</v>
      </c>
      <c r="GT25" s="345"/>
      <c r="GU25" s="345"/>
      <c r="GV25" s="345"/>
      <c r="GW25" s="345"/>
      <c r="GX25" s="345"/>
      <c r="GY25" s="346"/>
      <c r="GZ25" s="344">
        <f t="shared" ref="GZ25:GZ26" si="52">SUM(GZ23+HA23+HB23+HC23+HD23+HE23+HF23)</f>
        <v>56</v>
      </c>
      <c r="HA25" s="345"/>
      <c r="HB25" s="345"/>
      <c r="HC25" s="345"/>
      <c r="HD25" s="345"/>
      <c r="HE25" s="345"/>
      <c r="HF25" s="346"/>
      <c r="HG25" s="344">
        <f t="shared" ref="HG25:HG26" si="53">SUM(HG23+HH23+HI23+HJ23+HK23+HL23+HM23)</f>
        <v>0</v>
      </c>
      <c r="HH25" s="345"/>
      <c r="HI25" s="345"/>
      <c r="HJ25" s="345"/>
      <c r="HK25" s="345"/>
      <c r="HL25" s="345"/>
      <c r="HM25" s="346"/>
    </row>
    <row r="26" spans="2:221" x14ac:dyDescent="0.25">
      <c r="D26" s="12" t="s">
        <v>12</v>
      </c>
      <c r="E26" s="344">
        <f t="shared" si="24"/>
        <v>0</v>
      </c>
      <c r="F26" s="345"/>
      <c r="G26" s="345"/>
      <c r="H26" s="345"/>
      <c r="I26" s="345"/>
      <c r="J26" s="345"/>
      <c r="K26" s="346"/>
      <c r="L26" s="344">
        <f t="shared" si="25"/>
        <v>4</v>
      </c>
      <c r="M26" s="345"/>
      <c r="N26" s="345"/>
      <c r="O26" s="345"/>
      <c r="P26" s="345"/>
      <c r="Q26" s="345"/>
      <c r="R26" s="346"/>
      <c r="S26" s="344">
        <f t="shared" si="26"/>
        <v>13</v>
      </c>
      <c r="T26" s="345"/>
      <c r="U26" s="345"/>
      <c r="V26" s="345"/>
      <c r="W26" s="345"/>
      <c r="X26" s="345"/>
      <c r="Y26" s="346"/>
      <c r="Z26" s="344">
        <f t="shared" si="27"/>
        <v>14</v>
      </c>
      <c r="AA26" s="345"/>
      <c r="AB26" s="345"/>
      <c r="AC26" s="345"/>
      <c r="AD26" s="345"/>
      <c r="AE26" s="345"/>
      <c r="AF26" s="346"/>
      <c r="AG26" s="344">
        <f t="shared" si="28"/>
        <v>5</v>
      </c>
      <c r="AH26" s="345"/>
      <c r="AI26" s="345"/>
      <c r="AJ26" s="345"/>
      <c r="AK26" s="345"/>
      <c r="AL26" s="345"/>
      <c r="AM26" s="346"/>
      <c r="AN26" s="344">
        <f t="shared" si="29"/>
        <v>4</v>
      </c>
      <c r="AO26" s="345"/>
      <c r="AP26" s="345"/>
      <c r="AQ26" s="345"/>
      <c r="AR26" s="345"/>
      <c r="AS26" s="345"/>
      <c r="AT26" s="346"/>
      <c r="AU26" s="344">
        <f t="shared" si="30"/>
        <v>10</v>
      </c>
      <c r="AV26" s="345"/>
      <c r="AW26" s="345"/>
      <c r="AX26" s="345"/>
      <c r="AY26" s="345"/>
      <c r="AZ26" s="345"/>
      <c r="BA26" s="346"/>
      <c r="BB26" s="344">
        <f t="shared" si="31"/>
        <v>6</v>
      </c>
      <c r="BC26" s="345"/>
      <c r="BD26" s="345"/>
      <c r="BE26" s="345"/>
      <c r="BF26" s="345"/>
      <c r="BG26" s="345"/>
      <c r="BH26" s="346"/>
      <c r="BI26" s="344">
        <f t="shared" si="32"/>
        <v>9</v>
      </c>
      <c r="BJ26" s="345"/>
      <c r="BK26" s="345"/>
      <c r="BL26" s="345"/>
      <c r="BM26" s="345"/>
      <c r="BN26" s="345"/>
      <c r="BO26" s="346"/>
      <c r="BP26" s="344">
        <f t="shared" si="33"/>
        <v>13</v>
      </c>
      <c r="BQ26" s="345"/>
      <c r="BR26" s="345"/>
      <c r="BS26" s="345"/>
      <c r="BT26" s="345"/>
      <c r="BU26" s="345"/>
      <c r="BV26" s="346"/>
      <c r="BW26" s="344">
        <f t="shared" si="34"/>
        <v>4</v>
      </c>
      <c r="BX26" s="345"/>
      <c r="BY26" s="345"/>
      <c r="BZ26" s="345"/>
      <c r="CA26" s="345"/>
      <c r="CB26" s="345"/>
      <c r="CC26" s="346"/>
      <c r="CD26" s="344">
        <f t="shared" si="35"/>
        <v>0</v>
      </c>
      <c r="CE26" s="345"/>
      <c r="CF26" s="345"/>
      <c r="CG26" s="345"/>
      <c r="CH26" s="345"/>
      <c r="CI26" s="345"/>
      <c r="CJ26" s="346"/>
      <c r="CK26" s="344">
        <f t="shared" si="36"/>
        <v>0</v>
      </c>
      <c r="CL26" s="345"/>
      <c r="CM26" s="345"/>
      <c r="CN26" s="345"/>
      <c r="CO26" s="345"/>
      <c r="CP26" s="345"/>
      <c r="CQ26" s="346"/>
      <c r="CR26" s="344">
        <f t="shared" si="37"/>
        <v>10</v>
      </c>
      <c r="CS26" s="345"/>
      <c r="CT26" s="345"/>
      <c r="CU26" s="345"/>
      <c r="CV26" s="345"/>
      <c r="CW26" s="345"/>
      <c r="CX26" s="346"/>
      <c r="CY26" s="344">
        <f t="shared" si="38"/>
        <v>9</v>
      </c>
      <c r="CZ26" s="345"/>
      <c r="DA26" s="345"/>
      <c r="DB26" s="345"/>
      <c r="DC26" s="345"/>
      <c r="DD26" s="345"/>
      <c r="DE26" s="346"/>
      <c r="DF26" s="344">
        <f t="shared" si="39"/>
        <v>12</v>
      </c>
      <c r="DG26" s="345"/>
      <c r="DH26" s="345"/>
      <c r="DI26" s="345"/>
      <c r="DJ26" s="345"/>
      <c r="DK26" s="345"/>
      <c r="DL26" s="346"/>
      <c r="DM26" s="344">
        <f t="shared" ref="DM26" si="54">SUM(DM24+DN24+DO24+DP24+DQ24+DR24+DS24)</f>
        <v>0</v>
      </c>
      <c r="DN26" s="345"/>
      <c r="DO26" s="345"/>
      <c r="DP26" s="345"/>
      <c r="DQ26" s="345"/>
      <c r="DR26" s="345"/>
      <c r="DS26" s="346"/>
      <c r="DT26" s="344">
        <f t="shared" si="40"/>
        <v>1</v>
      </c>
      <c r="DU26" s="345"/>
      <c r="DV26" s="345"/>
      <c r="DW26" s="345"/>
      <c r="DX26" s="345"/>
      <c r="DY26" s="345"/>
      <c r="DZ26" s="346"/>
      <c r="EA26" s="344">
        <f t="shared" si="41"/>
        <v>0</v>
      </c>
      <c r="EB26" s="345"/>
      <c r="EC26" s="345"/>
      <c r="ED26" s="345"/>
      <c r="EE26" s="345"/>
      <c r="EF26" s="345"/>
      <c r="EG26" s="346"/>
      <c r="EH26" s="344">
        <f t="shared" si="42"/>
        <v>0</v>
      </c>
      <c r="EI26" s="345"/>
      <c r="EJ26" s="345"/>
      <c r="EK26" s="345"/>
      <c r="EL26" s="345"/>
      <c r="EM26" s="345"/>
      <c r="EN26" s="346"/>
      <c r="EO26" s="344">
        <f t="shared" si="43"/>
        <v>2</v>
      </c>
      <c r="EP26" s="345"/>
      <c r="EQ26" s="345"/>
      <c r="ER26" s="345"/>
      <c r="ES26" s="345"/>
      <c r="ET26" s="345"/>
      <c r="EU26" s="346"/>
      <c r="EV26" s="344">
        <f t="shared" si="44"/>
        <v>0</v>
      </c>
      <c r="EW26" s="345"/>
      <c r="EX26" s="345"/>
      <c r="EY26" s="345"/>
      <c r="EZ26" s="345"/>
      <c r="FA26" s="345"/>
      <c r="FB26" s="346"/>
      <c r="FC26" s="344">
        <f t="shared" si="45"/>
        <v>4</v>
      </c>
      <c r="FD26" s="345"/>
      <c r="FE26" s="345"/>
      <c r="FF26" s="345"/>
      <c r="FG26" s="345"/>
      <c r="FH26" s="345"/>
      <c r="FI26" s="346"/>
      <c r="FJ26" s="344">
        <f t="shared" si="46"/>
        <v>0</v>
      </c>
      <c r="FK26" s="345"/>
      <c r="FL26" s="345"/>
      <c r="FM26" s="345"/>
      <c r="FN26" s="345"/>
      <c r="FO26" s="345"/>
      <c r="FP26" s="346"/>
      <c r="FQ26" s="344">
        <f t="shared" si="47"/>
        <v>14</v>
      </c>
      <c r="FR26" s="345"/>
      <c r="FS26" s="345"/>
      <c r="FT26" s="345"/>
      <c r="FU26" s="345"/>
      <c r="FV26" s="345"/>
      <c r="FW26" s="346"/>
      <c r="FX26" s="344">
        <f t="shared" si="48"/>
        <v>0</v>
      </c>
      <c r="FY26" s="345"/>
      <c r="FZ26" s="345"/>
      <c r="GA26" s="345"/>
      <c r="GB26" s="345"/>
      <c r="GC26" s="345"/>
      <c r="GD26" s="346"/>
      <c r="GE26" s="344">
        <f t="shared" si="49"/>
        <v>12</v>
      </c>
      <c r="GF26" s="345"/>
      <c r="GG26" s="345"/>
      <c r="GH26" s="345"/>
      <c r="GI26" s="345"/>
      <c r="GJ26" s="345"/>
      <c r="GK26" s="346"/>
      <c r="GL26" s="344">
        <f t="shared" si="50"/>
        <v>14</v>
      </c>
      <c r="GM26" s="345"/>
      <c r="GN26" s="345"/>
      <c r="GO26" s="345"/>
      <c r="GP26" s="345"/>
      <c r="GQ26" s="345"/>
      <c r="GR26" s="346"/>
      <c r="GS26" s="344">
        <f t="shared" si="51"/>
        <v>25</v>
      </c>
      <c r="GT26" s="345"/>
      <c r="GU26" s="345"/>
      <c r="GV26" s="345"/>
      <c r="GW26" s="345"/>
      <c r="GX26" s="345"/>
      <c r="GY26" s="346"/>
      <c r="GZ26" s="344">
        <f t="shared" si="52"/>
        <v>56</v>
      </c>
      <c r="HA26" s="345"/>
      <c r="HB26" s="345"/>
      <c r="HC26" s="345"/>
      <c r="HD26" s="345"/>
      <c r="HE26" s="345"/>
      <c r="HF26" s="346"/>
      <c r="HG26" s="344">
        <f t="shared" si="53"/>
        <v>0</v>
      </c>
      <c r="HH26" s="345"/>
      <c r="HI26" s="345"/>
      <c r="HJ26" s="345"/>
      <c r="HK26" s="345"/>
      <c r="HL26" s="345"/>
      <c r="HM26" s="346"/>
    </row>
    <row r="27" spans="2:221" x14ac:dyDescent="0.25">
      <c r="M27" s="6" t="s">
        <v>55</v>
      </c>
    </row>
    <row r="28" spans="2:221" ht="18.75" x14ac:dyDescent="0.3">
      <c r="D28" s="10" t="s">
        <v>14</v>
      </c>
    </row>
    <row r="29" spans="2:221" ht="18.75" x14ac:dyDescent="0.3">
      <c r="D29" s="13"/>
    </row>
  </sheetData>
  <mergeCells count="98">
    <mergeCell ref="EH26:EN26"/>
    <mergeCell ref="EO26:EU26"/>
    <mergeCell ref="EH4:EN4"/>
    <mergeCell ref="EO4:EU4"/>
    <mergeCell ref="DT25:DZ25"/>
    <mergeCell ref="EA25:EG25"/>
    <mergeCell ref="EH25:EN25"/>
    <mergeCell ref="EO25:EU25"/>
    <mergeCell ref="DM4:DS4"/>
    <mergeCell ref="DM25:DS25"/>
    <mergeCell ref="DM26:DS26"/>
    <mergeCell ref="DT4:DZ4"/>
    <mergeCell ref="EA4:EG4"/>
    <mergeCell ref="DT26:DZ26"/>
    <mergeCell ref="EA26:EG26"/>
    <mergeCell ref="DF4:DL4"/>
    <mergeCell ref="DF25:DL25"/>
    <mergeCell ref="DF26:DL26"/>
    <mergeCell ref="CK26:CQ26"/>
    <mergeCell ref="CR26:CX26"/>
    <mergeCell ref="CY26:DE26"/>
    <mergeCell ref="CK4:CQ4"/>
    <mergeCell ref="CR4:CX4"/>
    <mergeCell ref="CY4:DE4"/>
    <mergeCell ref="CK25:CQ25"/>
    <mergeCell ref="CR25:CX25"/>
    <mergeCell ref="CY25:DE25"/>
    <mergeCell ref="CD26:CJ26"/>
    <mergeCell ref="AU26:BA26"/>
    <mergeCell ref="BB26:BH26"/>
    <mergeCell ref="BI26:BO26"/>
    <mergeCell ref="BP26:BV26"/>
    <mergeCell ref="BW26:CC26"/>
    <mergeCell ref="CD4:CJ4"/>
    <mergeCell ref="AG25:AM25"/>
    <mergeCell ref="AN25:AT25"/>
    <mergeCell ref="AU25:BA25"/>
    <mergeCell ref="BB25:BH25"/>
    <mergeCell ref="BI25:BO25"/>
    <mergeCell ref="BP25:BV25"/>
    <mergeCell ref="BW25:CC25"/>
    <mergeCell ref="CD25:CJ25"/>
    <mergeCell ref="AU4:BA4"/>
    <mergeCell ref="BB4:BH4"/>
    <mergeCell ref="BI4:BO4"/>
    <mergeCell ref="BP4:BV4"/>
    <mergeCell ref="BW4:CC4"/>
    <mergeCell ref="Z4:AF4"/>
    <mergeCell ref="Z25:AF25"/>
    <mergeCell ref="Z26:AF26"/>
    <mergeCell ref="AG4:AM4"/>
    <mergeCell ref="AN4:AT4"/>
    <mergeCell ref="AG26:AM26"/>
    <mergeCell ref="AN26:AT26"/>
    <mergeCell ref="S4:Y4"/>
    <mergeCell ref="S25:Y25"/>
    <mergeCell ref="S26:Y26"/>
    <mergeCell ref="E26:K26"/>
    <mergeCell ref="E25:K25"/>
    <mergeCell ref="E4:K4"/>
    <mergeCell ref="B19:B24"/>
    <mergeCell ref="L26:R26"/>
    <mergeCell ref="C6:C17"/>
    <mergeCell ref="L4:R4"/>
    <mergeCell ref="C19:C20"/>
    <mergeCell ref="C21:C22"/>
    <mergeCell ref="C23:C24"/>
    <mergeCell ref="L25:R25"/>
    <mergeCell ref="GE4:GK4"/>
    <mergeCell ref="EV25:FB25"/>
    <mergeCell ref="FC25:FI25"/>
    <mergeCell ref="FJ25:FP25"/>
    <mergeCell ref="FQ25:FW25"/>
    <mergeCell ref="FX25:GD25"/>
    <mergeCell ref="GE25:GK25"/>
    <mergeCell ref="EV4:FB4"/>
    <mergeCell ref="FC4:FI4"/>
    <mergeCell ref="FJ4:FP4"/>
    <mergeCell ref="FQ4:FW4"/>
    <mergeCell ref="FX4:GD4"/>
    <mergeCell ref="GE26:GK26"/>
    <mergeCell ref="EV26:FB26"/>
    <mergeCell ref="FC26:FI26"/>
    <mergeCell ref="FJ26:FP26"/>
    <mergeCell ref="FQ26:FW26"/>
    <mergeCell ref="FX26:GD26"/>
    <mergeCell ref="GL26:GR26"/>
    <mergeCell ref="GS26:GY26"/>
    <mergeCell ref="GZ26:HF26"/>
    <mergeCell ref="HG26:HM26"/>
    <mergeCell ref="GL4:GR4"/>
    <mergeCell ref="GS4:GY4"/>
    <mergeCell ref="GZ4:HF4"/>
    <mergeCell ref="HG4:HM4"/>
    <mergeCell ref="GL25:GR25"/>
    <mergeCell ref="GS25:GY25"/>
    <mergeCell ref="GZ25:HF25"/>
    <mergeCell ref="HG25:HM25"/>
  </mergeCells>
  <phoneticPr fontId="4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8db7c36-3cf7-4a4b-b02d-bd57ee0f35ca}" enabled="1" method="Privileged" siteId="{04831075-8a93-4207-beb6-e232bdb373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2026</vt:lpstr>
      <vt:lpstr>DMC 2026</vt:lpstr>
      <vt:lpstr>ABARTH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b7c36-3cf7-4a4b-b02d-bd57ee0f35ca_Enabled">
    <vt:lpwstr>true</vt:lpwstr>
  </property>
  <property fmtid="{D5CDD505-2E9C-101B-9397-08002B2CF9AE}" pid="3" name="MSIP_Label_c8db7c36-3cf7-4a4b-b02d-bd57ee0f35ca_SetDate">
    <vt:lpwstr>2022-01-20T08:47:38Z</vt:lpwstr>
  </property>
  <property fmtid="{D5CDD505-2E9C-101B-9397-08002B2CF9AE}" pid="4" name="MSIP_Label_c8db7c36-3cf7-4a4b-b02d-bd57ee0f35ca_Method">
    <vt:lpwstr>Privileged</vt:lpwstr>
  </property>
  <property fmtid="{D5CDD505-2E9C-101B-9397-08002B2CF9AE}" pid="5" name="MSIP_Label_c8db7c36-3cf7-4a4b-b02d-bd57ee0f35ca_Name">
    <vt:lpwstr>c8db7c36-3cf7-4a4b-b02d-bd57ee0f35ca</vt:lpwstr>
  </property>
  <property fmtid="{D5CDD505-2E9C-101B-9397-08002B2CF9AE}" pid="6" name="MSIP_Label_c8db7c36-3cf7-4a4b-b02d-bd57ee0f35ca_SiteId">
    <vt:lpwstr>04831075-8a93-4207-beb6-e232bdb3737e</vt:lpwstr>
  </property>
  <property fmtid="{D5CDD505-2E9C-101B-9397-08002B2CF9AE}" pid="7" name="MSIP_Label_c8db7c36-3cf7-4a4b-b02d-bd57ee0f35ca_ActionId">
    <vt:lpwstr>a097a876-c987-48f3-bde4-272a36c5dfc2</vt:lpwstr>
  </property>
  <property fmtid="{D5CDD505-2E9C-101B-9397-08002B2CF9AE}" pid="8" name="MSIP_Label_c8db7c36-3cf7-4a4b-b02d-bd57ee0f35ca_ContentBits">
    <vt:lpwstr>0</vt:lpwstr>
  </property>
</Properties>
</file>